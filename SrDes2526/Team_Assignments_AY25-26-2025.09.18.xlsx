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CAPSTONE AY25-26\5.0.0 Projects\5.3.0 Project Preferences\"/>
    </mc:Choice>
  </mc:AlternateContent>
  <xr:revisionPtr revIDLastSave="0" documentId="8_{B5FA51CF-A4E9-457F-9B90-AA4FDB8685C3}" xr6:coauthVersionLast="47" xr6:coauthVersionMax="47" xr10:uidLastSave="{00000000-0000-0000-0000-000000000000}"/>
  <bookViews>
    <workbookView xWindow="10320" yWindow="540" windowWidth="32544" windowHeight="24756" xr2:uid="{BB2A2AA4-0BCB-4519-B964-C96CD6B12CA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1" l="1"/>
  <c r="B8" i="1"/>
  <c r="B7" i="1"/>
  <c r="B6" i="1"/>
  <c r="B5" i="1"/>
  <c r="B4" i="1"/>
  <c r="B3" i="1"/>
  <c r="B2" i="1"/>
  <c r="B11" i="1" s="1"/>
</calcChain>
</file>

<file path=xl/sharedStrings.xml><?xml version="1.0" encoding="utf-8"?>
<sst xmlns="http://schemas.openxmlformats.org/spreadsheetml/2006/main" count="1050" uniqueCount="721">
  <si>
    <t>AL</t>
  </si>
  <si>
    <t>Linn</t>
  </si>
  <si>
    <t>EGW</t>
  </si>
  <si>
    <t>Gutirezz-Wing</t>
  </si>
  <si>
    <t>EA</t>
  </si>
  <si>
    <t>Emil Atz</t>
  </si>
  <si>
    <t>JG</t>
  </si>
  <si>
    <t>Jim Geiger</t>
  </si>
  <si>
    <t>SB</t>
  </si>
  <si>
    <t>Scott Bunch</t>
  </si>
  <si>
    <t>MA</t>
  </si>
  <si>
    <t>Mike Albro</t>
  </si>
  <si>
    <t>UK</t>
  </si>
  <si>
    <t>Unknown</t>
  </si>
  <si>
    <t>ECE</t>
  </si>
  <si>
    <t>Moved to ECE</t>
  </si>
  <si>
    <t>Total</t>
  </si>
  <si>
    <t>Advisor</t>
  </si>
  <si>
    <t>Project Number</t>
  </si>
  <si>
    <t>email</t>
  </si>
  <si>
    <t>Student Last</t>
  </si>
  <si>
    <t>Student First</t>
  </si>
  <si>
    <t>Section</t>
  </si>
  <si>
    <t>Description</t>
  </si>
  <si>
    <t>Sponsor</t>
  </si>
  <si>
    <t>trent@bu.edu</t>
  </si>
  <si>
    <t>tallarico</t>
  </si>
  <si>
    <t>joseph</t>
  </si>
  <si>
    <t>Section A2</t>
  </si>
  <si>
    <t>Aircraft Design: 2022-2023 AIAA Student Design Competition - Hybrid-electric Regional Turboprop</t>
  </si>
  <si>
    <t>atharvb@bu.edu</t>
  </si>
  <si>
    <t>Biju Pillai</t>
  </si>
  <si>
    <t>Atharv</t>
  </si>
  <si>
    <t>Section A1</t>
  </si>
  <si>
    <t>Jreamer@bu.edu</t>
  </si>
  <si>
    <t>Reamer</t>
  </si>
  <si>
    <t>Johnathan</t>
  </si>
  <si>
    <t>Aircraft Design: Legacy AIAA Student Design - High Capacity Short Range Transport Aircraft</t>
  </si>
  <si>
    <t>Aircraft Design: Legacy AIAA - Hybrid STOL Air Taxi</t>
  </si>
  <si>
    <t>Aircraft Design: NASA Legacy - Self-Piloted Aircraft for Critical Rural/Suburban Needs</t>
  </si>
  <si>
    <t>patriotb@bu.edu</t>
  </si>
  <si>
    <t>Berisha</t>
  </si>
  <si>
    <t>Patriot</t>
  </si>
  <si>
    <t>Aircraft Design: AIAA Legacy - Responsive Aerial Fire Figting Aircraft (ME408 Required)</t>
  </si>
  <si>
    <t>nmehta25@bu.edu</t>
  </si>
  <si>
    <t>Mehta</t>
  </si>
  <si>
    <t>Nimit</t>
  </si>
  <si>
    <t>bradr@bu.edu</t>
  </si>
  <si>
    <t>Rosen</t>
  </si>
  <si>
    <t>Bradley</t>
  </si>
  <si>
    <t>caedeng@bu.edu</t>
  </si>
  <si>
    <t>Giorgetta</t>
  </si>
  <si>
    <t>Caeden</t>
  </si>
  <si>
    <t>mchook@bu.edu</t>
  </si>
  <si>
    <t>Hook</t>
  </si>
  <si>
    <t>Margaret</t>
  </si>
  <si>
    <t>jgjoyce@bu.edu</t>
  </si>
  <si>
    <t>Joyce</t>
  </si>
  <si>
    <t>Jacqueline</t>
  </si>
  <si>
    <t>Reducing High-Rise Energy Requirements</t>
  </si>
  <si>
    <t>leensyn@bu.edu</t>
  </si>
  <si>
    <t>Rivera Asmen</t>
  </si>
  <si>
    <t>Leensyn</t>
  </si>
  <si>
    <t>jelvis03@bu.edu</t>
  </si>
  <si>
    <t>Massari</t>
  </si>
  <si>
    <t>Julian</t>
  </si>
  <si>
    <t>cemres@bu.edu</t>
  </si>
  <si>
    <t>Sonmez</t>
  </si>
  <si>
    <t>Cemre</t>
  </si>
  <si>
    <t>maisha@bu.edu</t>
  </si>
  <si>
    <t>Zui</t>
  </si>
  <si>
    <t>Maisha</t>
  </si>
  <si>
    <t>gabypol1@bu.edu</t>
  </si>
  <si>
    <t>Polakovic</t>
  </si>
  <si>
    <t>Gabriela</t>
  </si>
  <si>
    <t>sCO2 turbine generator</t>
  </si>
  <si>
    <t>A B Linn</t>
  </si>
  <si>
    <t>abhili03@bu.edu</t>
  </si>
  <si>
    <t>Lingareddy</t>
  </si>
  <si>
    <t>Abhishikth</t>
  </si>
  <si>
    <t>elliotdy@bu.edu</t>
  </si>
  <si>
    <t>Dy</t>
  </si>
  <si>
    <t>Elliot</t>
  </si>
  <si>
    <t>cah26@bu.edu</t>
  </si>
  <si>
    <t>Hanson</t>
  </si>
  <si>
    <t>Christian</t>
  </si>
  <si>
    <t>zahraa@bu.edu</t>
  </si>
  <si>
    <t>Ahmad</t>
  </si>
  <si>
    <t>Zahra</t>
  </si>
  <si>
    <t>gmalloz@bu.edu</t>
  </si>
  <si>
    <t>Mallozzi</t>
  </si>
  <si>
    <t>Grace</t>
  </si>
  <si>
    <t>mariar26@bu.edu</t>
  </si>
  <si>
    <t>Rivadeneira</t>
  </si>
  <si>
    <t>Maria</t>
  </si>
  <si>
    <t>jchen29@bu.edu</t>
  </si>
  <si>
    <t>Chen</t>
  </si>
  <si>
    <t>Jamie</t>
  </si>
  <si>
    <t>Tracking Solar Concentrating Collector</t>
  </si>
  <si>
    <t>sakawan@bu.edu</t>
  </si>
  <si>
    <t>Junwikul</t>
  </si>
  <si>
    <t>Jonan</t>
  </si>
  <si>
    <t>Personnal VTOL Commuter Aircraft</t>
  </si>
  <si>
    <t>AB Linn</t>
  </si>
  <si>
    <t>linj04@bu.edu</t>
  </si>
  <si>
    <t>Lin</t>
  </si>
  <si>
    <t>Jason</t>
  </si>
  <si>
    <t>gsmith@bu.edu</t>
  </si>
  <si>
    <t>Smith</t>
  </si>
  <si>
    <t>Gabby</t>
  </si>
  <si>
    <t>johnny02@bu.edu</t>
  </si>
  <si>
    <t>Li</t>
  </si>
  <si>
    <t>Zonghao</t>
  </si>
  <si>
    <t>132A</t>
  </si>
  <si>
    <t>anasante@bu.edu</t>
  </si>
  <si>
    <t>Asante</t>
  </si>
  <si>
    <t>Andy</t>
  </si>
  <si>
    <t>Morphing sailboal sail or wing</t>
  </si>
  <si>
    <t>sheilab@bu.edu</t>
  </si>
  <si>
    <t>Bravo</t>
  </si>
  <si>
    <t>Sheila</t>
  </si>
  <si>
    <t>autonomous sailboat competition</t>
  </si>
  <si>
    <t>jakerad@bu.edu</t>
  </si>
  <si>
    <t>Rademacher</t>
  </si>
  <si>
    <t>Jacob</t>
  </si>
  <si>
    <t>aema@bu.edu</t>
  </si>
  <si>
    <t>Emanuele</t>
  </si>
  <si>
    <t>Annalisa</t>
  </si>
  <si>
    <t>rikhils@bu.edu</t>
  </si>
  <si>
    <t>Sethi</t>
  </si>
  <si>
    <t>Rikhil</t>
  </si>
  <si>
    <t>132B</t>
  </si>
  <si>
    <t>ronc4908@bu.edu</t>
  </si>
  <si>
    <t>Chambergo</t>
  </si>
  <si>
    <t>Ronald</t>
  </si>
  <si>
    <t>raghav04@bu.edu</t>
  </si>
  <si>
    <t>Agarwal</t>
  </si>
  <si>
    <t>Raghav</t>
  </si>
  <si>
    <t>ebherold@bu.edu</t>
  </si>
  <si>
    <t>Herold</t>
  </si>
  <si>
    <t>Emmanuel</t>
  </si>
  <si>
    <t>freddyc@bu.edu</t>
  </si>
  <si>
    <t>Collins</t>
  </si>
  <si>
    <t>Fredrick</t>
  </si>
  <si>
    <t>kylal08@bu.edu</t>
  </si>
  <si>
    <t>Lopez</t>
  </si>
  <si>
    <t>Kyla</t>
  </si>
  <si>
    <t>Gas turbine from Turbo Charger</t>
  </si>
  <si>
    <t>bbrianna@bu.edu</t>
  </si>
  <si>
    <t>Vargas</t>
  </si>
  <si>
    <t>Brianna</t>
  </si>
  <si>
    <t>adamelci@bu.edu</t>
  </si>
  <si>
    <t>Elci</t>
  </si>
  <si>
    <t>Adam</t>
  </si>
  <si>
    <t>wshep@bu.edu</t>
  </si>
  <si>
    <t>Sheppeck</t>
  </si>
  <si>
    <t>William</t>
  </si>
  <si>
    <t>skell@bu.edu</t>
  </si>
  <si>
    <t>Kelly</t>
  </si>
  <si>
    <t>Sean</t>
  </si>
  <si>
    <t>afraiman@bu.edu</t>
  </si>
  <si>
    <t>Fraiman</t>
  </si>
  <si>
    <t>Allen</t>
  </si>
  <si>
    <t>Centerless Polishing Machine</t>
  </si>
  <si>
    <t>Vita Needle Company</t>
  </si>
  <si>
    <t>qinjunze@bu.edu</t>
  </si>
  <si>
    <t>Qin</t>
  </si>
  <si>
    <t>Junze Qin</t>
  </si>
  <si>
    <t>yunget29@bu.edu</t>
  </si>
  <si>
    <t>Yung</t>
  </si>
  <si>
    <t>Ethan</t>
  </si>
  <si>
    <t>mazenk@bu.edu</t>
  </si>
  <si>
    <t>Kamel</t>
  </si>
  <si>
    <t>Mazen</t>
  </si>
  <si>
    <t>mouakani@bu.edu</t>
  </si>
  <si>
    <t>Ouakani</t>
  </si>
  <si>
    <t>Mohamed</t>
  </si>
  <si>
    <t>sa2003@bu.edu</t>
  </si>
  <si>
    <t>Avila</t>
  </si>
  <si>
    <t>Steven</t>
  </si>
  <si>
    <t>NASA Blue Skies</t>
  </si>
  <si>
    <t>NASA</t>
  </si>
  <si>
    <t>agulbina@bu.edu</t>
  </si>
  <si>
    <t>Gulbinas</t>
  </si>
  <si>
    <t>Angelina</t>
  </si>
  <si>
    <t>jadadee@bu.edu</t>
  </si>
  <si>
    <t>Daniels</t>
  </si>
  <si>
    <t>Jada</t>
  </si>
  <si>
    <t>aadarsh@bu.edu</t>
  </si>
  <si>
    <t>Arasu</t>
  </si>
  <si>
    <t>Aadarsh</t>
  </si>
  <si>
    <t>toddlm@bu.edu</t>
  </si>
  <si>
    <t>Lee-Millstein</t>
  </si>
  <si>
    <t>Todd</t>
  </si>
  <si>
    <t xml:space="preserve">JG </t>
  </si>
  <si>
    <t>ebraatz@bu.edu</t>
  </si>
  <si>
    <t>Braatz</t>
  </si>
  <si>
    <t>Emma</t>
  </si>
  <si>
    <t>AIAA Design Build Fly  (DBF)</t>
  </si>
  <si>
    <t>sboard@bu.edu</t>
  </si>
  <si>
    <t>Boardman</t>
  </si>
  <si>
    <t>Samuel</t>
  </si>
  <si>
    <t>hpc@bu.edu</t>
  </si>
  <si>
    <t>Corrigan</t>
  </si>
  <si>
    <t>Henry</t>
  </si>
  <si>
    <t>Combined with 200</t>
  </si>
  <si>
    <t>Mini VTOL Flight Vehicle</t>
  </si>
  <si>
    <t>James Geiger</t>
  </si>
  <si>
    <t>dcmatos@bu.edu</t>
  </si>
  <si>
    <t>Cespedes Matos</t>
  </si>
  <si>
    <t>Dayeli Dahian</t>
  </si>
  <si>
    <t xml:space="preserve">Urrigator: A Mechanical Catheter for the Removal of Clots and Blood from the Bladder </t>
  </si>
  <si>
    <t>gmlieberman@gmail.com</t>
  </si>
  <si>
    <t>Mass General Brigham - Dr. Brian Eisner and Dr. Graham Lieberman</t>
  </si>
  <si>
    <t>alexakyr@bu.edu</t>
  </si>
  <si>
    <t>Kyriacou</t>
  </si>
  <si>
    <t>Alexa</t>
  </si>
  <si>
    <t>azoll@bu.edu</t>
  </si>
  <si>
    <t>Zollinger</t>
  </si>
  <si>
    <t>Akemi</t>
  </si>
  <si>
    <t>elynch@bu.edu</t>
  </si>
  <si>
    <t>Lynch</t>
  </si>
  <si>
    <t>Erin</t>
  </si>
  <si>
    <t>jagaba01@bu.edu</t>
  </si>
  <si>
    <t>Agaba</t>
  </si>
  <si>
    <t>Joshua</t>
  </si>
  <si>
    <t>Rocket Propulsion Group: Active Rocket Stabilization</t>
  </si>
  <si>
    <t>Nikola Radakovic</t>
  </si>
  <si>
    <t>BU Rocket Propulsion Group</t>
  </si>
  <si>
    <t>Soft Robotic Actuation and Biocompatibility</t>
  </si>
  <si>
    <t>Kenneth Sebesta</t>
  </si>
  <si>
    <t>Sebesta, Sabelhaus, Jimenez</t>
  </si>
  <si>
    <t>andywang@bu.edu</t>
  </si>
  <si>
    <t>Wang</t>
  </si>
  <si>
    <t>Sea Turtle Rescue Drone</t>
  </si>
  <si>
    <t>New England Aquarium</t>
  </si>
  <si>
    <t>abadrudd@bu.edu</t>
  </si>
  <si>
    <t>Badruddin</t>
  </si>
  <si>
    <t>Amira</t>
  </si>
  <si>
    <t>jamesh@bu.edu</t>
  </si>
  <si>
    <t>Huang</t>
  </si>
  <si>
    <t>James</t>
  </si>
  <si>
    <t>moritze@bu.edu</t>
  </si>
  <si>
    <t>Ebbeskotte</t>
  </si>
  <si>
    <t>Moritz</t>
  </si>
  <si>
    <t>I'm ECE or BME</t>
  </si>
  <si>
    <t>balsalih@bu.edu</t>
  </si>
  <si>
    <t>Alsalih</t>
  </si>
  <si>
    <t>Bader</t>
  </si>
  <si>
    <t>200A</t>
  </si>
  <si>
    <t>gerasev@bu.edu</t>
  </si>
  <si>
    <t>Gerasev</t>
  </si>
  <si>
    <t>Nicholas</t>
  </si>
  <si>
    <t xml:space="preserve">Mini VTOL Flight Vehicle Competition                           </t>
  </si>
  <si>
    <t>Geiger, Linn</t>
  </si>
  <si>
    <t>armanuch@bu.edu</t>
  </si>
  <si>
    <t>Manucharyan</t>
  </si>
  <si>
    <t>Armen</t>
  </si>
  <si>
    <t>nlin1121@bu.edu</t>
  </si>
  <si>
    <t>Nick</t>
  </si>
  <si>
    <t>kaipan@bu.edu</t>
  </si>
  <si>
    <t>Pan</t>
  </si>
  <si>
    <t>Kailan</t>
  </si>
  <si>
    <t>kstry@bu.edu</t>
  </si>
  <si>
    <t>Strycharz</t>
  </si>
  <si>
    <t>Krzysztof</t>
  </si>
  <si>
    <t>200B</t>
  </si>
  <si>
    <t>bcao8@bu.edu</t>
  </si>
  <si>
    <t>Cao</t>
  </si>
  <si>
    <t>Benson</t>
  </si>
  <si>
    <t xml:space="preserve">Mini VTOL Flight Vehicle Competition                          </t>
  </si>
  <si>
    <t>bluu03@bu.edu</t>
  </si>
  <si>
    <t>Luu</t>
  </si>
  <si>
    <t>Benjamin</t>
  </si>
  <si>
    <t>amrubio@bu.edu</t>
  </si>
  <si>
    <t>Rubio</t>
  </si>
  <si>
    <t>Analisa</t>
  </si>
  <si>
    <t>taron@bu.edu</t>
  </si>
  <si>
    <t>Aron</t>
  </si>
  <si>
    <t>Tate</t>
  </si>
  <si>
    <t>Maria Telkas   Off Grid House Design                             Requires 3 Teams minimum</t>
  </si>
  <si>
    <t>cmohamed@bu.edu</t>
  </si>
  <si>
    <t>Camellia</t>
  </si>
  <si>
    <t>Magic Lab 1: Crayon Pallette</t>
  </si>
  <si>
    <t>Bunch</t>
  </si>
  <si>
    <t>jsimkins@bu.edu</t>
  </si>
  <si>
    <t>Simkins</t>
  </si>
  <si>
    <t>Joelie</t>
  </si>
  <si>
    <t>mcable@bu.edu</t>
  </si>
  <si>
    <t>Cable</t>
  </si>
  <si>
    <t>Mei</t>
  </si>
  <si>
    <t>tbecker@bu.edu</t>
  </si>
  <si>
    <t>Becker, Tate</t>
  </si>
  <si>
    <t>atretiak@bu.edu</t>
  </si>
  <si>
    <t>Tretiakova</t>
  </si>
  <si>
    <t>Anna</t>
  </si>
  <si>
    <t>Magic Lab 3: Remote Controlled Levitating Rose</t>
  </si>
  <si>
    <t>ndm04@bu.edu</t>
  </si>
  <si>
    <t>Martinez</t>
  </si>
  <si>
    <t>Nicolas</t>
  </si>
  <si>
    <t>dpmart03@bu.edu</t>
  </si>
  <si>
    <t>Danna</t>
  </si>
  <si>
    <t>julieb@bu.edu</t>
  </si>
  <si>
    <t>Bui</t>
  </si>
  <si>
    <t>Julie</t>
  </si>
  <si>
    <t>Magic Lab 4: Stage Levitation</t>
  </si>
  <si>
    <t>biancasp@bu.edu</t>
  </si>
  <si>
    <t>Sparr</t>
  </si>
  <si>
    <t>Bianca</t>
  </si>
  <si>
    <t>sanhenao@bu.edu</t>
  </si>
  <si>
    <t>Henao</t>
  </si>
  <si>
    <t>Santiago</t>
  </si>
  <si>
    <t>mmweaver@bu.edu</t>
  </si>
  <si>
    <t>Weaver</t>
  </si>
  <si>
    <t>Morgan</t>
  </si>
  <si>
    <t>averymc@bu.edu</t>
  </si>
  <si>
    <t>Chayapruks</t>
  </si>
  <si>
    <t>Avery</t>
  </si>
  <si>
    <t>Magic Lab 5: FireFlies</t>
  </si>
  <si>
    <t>hesong@bu.edu</t>
  </si>
  <si>
    <t>Song</t>
  </si>
  <si>
    <t>Hannah</t>
  </si>
  <si>
    <t>Pervious Pavement Sweeper</t>
  </si>
  <si>
    <t>City of Boston</t>
  </si>
  <si>
    <t>manuelr7@bu.edu</t>
  </si>
  <si>
    <t>Rivas</t>
  </si>
  <si>
    <t>Manuel</t>
  </si>
  <si>
    <t>mlsteph@bu.edu</t>
  </si>
  <si>
    <t>Marquez Lozano</t>
  </si>
  <si>
    <t>Stephanie</t>
  </si>
  <si>
    <t>jordych@bu.edu</t>
  </si>
  <si>
    <t>Chan</t>
  </si>
  <si>
    <t>Jordy</t>
  </si>
  <si>
    <t>mbout@bu.edu</t>
  </si>
  <si>
    <t>Boutonnet</t>
  </si>
  <si>
    <t>Marshall</t>
  </si>
  <si>
    <t>dyue30@bu.edu</t>
  </si>
  <si>
    <t>Yue</t>
  </si>
  <si>
    <t>Daniel</t>
  </si>
  <si>
    <t>bincheng@bu.edu</t>
  </si>
  <si>
    <t>Ma</t>
  </si>
  <si>
    <t>Bincheng</t>
  </si>
  <si>
    <t>Data Closet Cooling</t>
  </si>
  <si>
    <t>aldera@bu.edu</t>
  </si>
  <si>
    <t>Aldera</t>
  </si>
  <si>
    <t>Omar</t>
  </si>
  <si>
    <t>gengna@bu.edu</t>
  </si>
  <si>
    <t>Geng</t>
  </si>
  <si>
    <t>Nathan</t>
  </si>
  <si>
    <t>valev@bu.edu</t>
  </si>
  <si>
    <t>Vidal Cabrera</t>
  </si>
  <si>
    <t>Vera Valentina</t>
  </si>
  <si>
    <t>derekliu@bu.edu</t>
  </si>
  <si>
    <t>Liu</t>
  </si>
  <si>
    <t>Derek</t>
  </si>
  <si>
    <t>lmstroh@bu.edu</t>
  </si>
  <si>
    <t>Stroh</t>
  </si>
  <si>
    <t>Luke</t>
  </si>
  <si>
    <t>Pulse Combustion Engine</t>
  </si>
  <si>
    <t>iandoud@bu.edu</t>
  </si>
  <si>
    <t>Doud</t>
  </si>
  <si>
    <t>Ian</t>
  </si>
  <si>
    <t>cschwa@bu.edu</t>
  </si>
  <si>
    <t>Schwartz</t>
  </si>
  <si>
    <t>Caleb</t>
  </si>
  <si>
    <t>adriantp@bu.edu</t>
  </si>
  <si>
    <t>Taboada Perez</t>
  </si>
  <si>
    <t>Adrian</t>
  </si>
  <si>
    <t>Automated Device for Tube Swaging</t>
  </si>
  <si>
    <t>dyesilyurt04@gmail.com</t>
  </si>
  <si>
    <t>Yesilyurt</t>
  </si>
  <si>
    <t>Devrim</t>
  </si>
  <si>
    <t>wgooley@bu.edu</t>
  </si>
  <si>
    <t>Gooley</t>
  </si>
  <si>
    <t>Westerly</t>
  </si>
  <si>
    <t>mem123@bu.edu</t>
  </si>
  <si>
    <t>McDonald</t>
  </si>
  <si>
    <t>Madison</t>
  </si>
  <si>
    <t>Printing On the Streets</t>
  </si>
  <si>
    <t>Will Boley</t>
  </si>
  <si>
    <t>Boley</t>
  </si>
  <si>
    <t>ntac@bu.edu</t>
  </si>
  <si>
    <t>Cunningham</t>
  </si>
  <si>
    <t>Nefermaya</t>
  </si>
  <si>
    <t>mitch48@bu.edu</t>
  </si>
  <si>
    <t>Hartman</t>
  </si>
  <si>
    <t>Mitchell</t>
  </si>
  <si>
    <t>ifobinwa@bu.edu</t>
  </si>
  <si>
    <t>Obinwa</t>
  </si>
  <si>
    <t>Naomi</t>
  </si>
  <si>
    <t>lu23do@bu.edu</t>
  </si>
  <si>
    <t>Pujia</t>
  </si>
  <si>
    <t>Maria Ludovica Nicol</t>
  </si>
  <si>
    <t>bkamer@bu.edu</t>
  </si>
  <si>
    <t>Kamer</t>
  </si>
  <si>
    <t>Rocket Motor Cryogenic Feed System</t>
  </si>
  <si>
    <t>Ben Kamer, bkamer@bu.edu</t>
  </si>
  <si>
    <t>BURPG</t>
  </si>
  <si>
    <t>shomakh@bu.edu</t>
  </si>
  <si>
    <t>Shomakhov</t>
  </si>
  <si>
    <t>Inal</t>
  </si>
  <si>
    <t>ablydon@bu.edu</t>
  </si>
  <si>
    <t>Lydon</t>
  </si>
  <si>
    <t>haydenar@bu.edu</t>
  </si>
  <si>
    <t>Robinson</t>
  </si>
  <si>
    <t>Hayden</t>
  </si>
  <si>
    <t>austinz@bu.edu</t>
  </si>
  <si>
    <t>Zhang</t>
  </si>
  <si>
    <t>Austin</t>
  </si>
  <si>
    <t>ccorbett@bu.edu</t>
  </si>
  <si>
    <t>Corbett</t>
  </si>
  <si>
    <t>Charles</t>
  </si>
  <si>
    <t>Solar Thermal Water Pasteuization</t>
  </si>
  <si>
    <t>asubra16@bu.edu</t>
  </si>
  <si>
    <t>Subramaniyam</t>
  </si>
  <si>
    <t>Andrew</t>
  </si>
  <si>
    <t>jktang@bu.edu</t>
  </si>
  <si>
    <t>Tang</t>
  </si>
  <si>
    <t>agarin@bu.edu</t>
  </si>
  <si>
    <t>Garin</t>
  </si>
  <si>
    <t>Alexander</t>
  </si>
  <si>
    <t xml:space="preserve">Ex Vivo Cartilage Impactor for Post Tgraumatic Osteoarthritis Simulation:  </t>
  </si>
  <si>
    <t>Michael Albro</t>
  </si>
  <si>
    <t>sfunai@bu.edu</t>
  </si>
  <si>
    <t>Funai</t>
  </si>
  <si>
    <t>Sydnee</t>
  </si>
  <si>
    <t>Raman Plate Reader for High Throughput Evaluation of Cartilage Composistion</t>
  </si>
  <si>
    <t>ahabtem1@bu.edu</t>
  </si>
  <si>
    <t>Habtemariam</t>
  </si>
  <si>
    <t>Ariam</t>
  </si>
  <si>
    <t>ksneia@bu.edu</t>
  </si>
  <si>
    <t>Sherstyuk</t>
  </si>
  <si>
    <t>Ksenia</t>
  </si>
  <si>
    <t>hgrant@bu.edu</t>
  </si>
  <si>
    <t>Grant</t>
  </si>
  <si>
    <t>Harrison</t>
  </si>
  <si>
    <t>Best of both worlds: VTOL flexibility and fixed wing efficiency,  UAV</t>
  </si>
  <si>
    <t>Becken, Grant, Sayah, Kamal, Donovan</t>
  </si>
  <si>
    <t>jsnsayah@bu.edu</t>
  </si>
  <si>
    <t>Sayah</t>
  </si>
  <si>
    <t>aidandonovan28@gmail.com</t>
  </si>
  <si>
    <t>Donovan</t>
  </si>
  <si>
    <t>Aidan</t>
  </si>
  <si>
    <t>skamal9@bu.edu</t>
  </si>
  <si>
    <t>Kamal</t>
  </si>
  <si>
    <t>Sofia</t>
  </si>
  <si>
    <t>skbecken@bu.edu</t>
  </si>
  <si>
    <t>Becken</t>
  </si>
  <si>
    <t>Sophia</t>
  </si>
  <si>
    <t>nicolob@bu.edu</t>
  </si>
  <si>
    <t>Bizzozero</t>
  </si>
  <si>
    <t>Nicolo</t>
  </si>
  <si>
    <t>Component Reimagened, Reimagining the Vibram Component Shoe: Next-Gen Modular Footwear</t>
  </si>
  <si>
    <t>Vibram</t>
  </si>
  <si>
    <t>sean.gayle@vibram.com</t>
  </si>
  <si>
    <t>clee26@bu.edu</t>
  </si>
  <si>
    <t>Lee</t>
  </si>
  <si>
    <t>Caiden</t>
  </si>
  <si>
    <t>qmnguyen@bu.edu</t>
  </si>
  <si>
    <t>Nguyen</t>
  </si>
  <si>
    <t>Quan</t>
  </si>
  <si>
    <t>Traction Testing - Surface Trays</t>
  </si>
  <si>
    <t>dustin.maier@vibram.com</t>
  </si>
  <si>
    <t>seegera@bu.edu</t>
  </si>
  <si>
    <t>Seeger</t>
  </si>
  <si>
    <t>Vibram Impact Cushioning Evaluator</t>
  </si>
  <si>
    <t>camj18@bu.edu</t>
  </si>
  <si>
    <t>Jordan</t>
  </si>
  <si>
    <t>Cameron</t>
  </si>
  <si>
    <t>sdelange@bu.edu</t>
  </si>
  <si>
    <t>Del Angel de Martino</t>
  </si>
  <si>
    <t>gheidelb@bu.edu</t>
  </si>
  <si>
    <t>Heidelbaugh</t>
  </si>
  <si>
    <t>Fall Arrest System</t>
  </si>
  <si>
    <t>carrossi@bu.edu</t>
  </si>
  <si>
    <t>Carrillo</t>
  </si>
  <si>
    <t>Ana</t>
  </si>
  <si>
    <t>Electric Pump Fed Rocket Engine</t>
  </si>
  <si>
    <t>Nova Midwinter</t>
  </si>
  <si>
    <t>novasm@bu.edu</t>
  </si>
  <si>
    <t>Midwinter</t>
  </si>
  <si>
    <t>Nova</t>
  </si>
  <si>
    <t>cmoneme@bu.edu</t>
  </si>
  <si>
    <t>Moneme</t>
  </si>
  <si>
    <t>Chinonye</t>
  </si>
  <si>
    <t>nachan@bu.edu</t>
  </si>
  <si>
    <t>anyavand@bu.edu</t>
  </si>
  <si>
    <t>Vandandaigue</t>
  </si>
  <si>
    <t>Anya</t>
  </si>
  <si>
    <t>Free Flight Glider COMPETITION</t>
  </si>
  <si>
    <t>Geiger</t>
  </si>
  <si>
    <t>hanxi@bu.edu</t>
  </si>
  <si>
    <t>Han</t>
  </si>
  <si>
    <t>Xiangyi</t>
  </si>
  <si>
    <t>Hybrid FOG Removal System Using Mechanical Agitation and Emulsifier Dispersion</t>
  </si>
  <si>
    <t>Kantika Klomjoho, kantika@bu.edu</t>
  </si>
  <si>
    <t>fyfi06bu@bu.edu</t>
  </si>
  <si>
    <t>Fan</t>
  </si>
  <si>
    <t>Yufei</t>
  </si>
  <si>
    <t>kantika@bu.edu</t>
  </si>
  <si>
    <t>Klomjoho</t>
  </si>
  <si>
    <t>Kantika</t>
  </si>
  <si>
    <t>winks@bu.edu</t>
  </si>
  <si>
    <t>Win</t>
  </si>
  <si>
    <t>Khin Shin Thant</t>
  </si>
  <si>
    <t>staceyl@bu.edu</t>
  </si>
  <si>
    <t>Low</t>
  </si>
  <si>
    <t>Stacey</t>
  </si>
  <si>
    <t>raylian@bu.edu</t>
  </si>
  <si>
    <t>Lian</t>
  </si>
  <si>
    <t>Ray</t>
  </si>
  <si>
    <t>G.A.R.Y. (Garbage Assistant Robot for You)</t>
  </si>
  <si>
    <t>Students: Ray Lian, Winnie Li, Aden Lok, Joaquin Ko, Alexander Yao. Mentor: Pavan Bhavasar</t>
  </si>
  <si>
    <t>raylian@bu.edu, wli68@bu.edu, adenl@bu.edu, joaquink@bu.edu, apyao@bu.edu</t>
  </si>
  <si>
    <t>adenl@bu.edu</t>
  </si>
  <si>
    <t>Lok</t>
  </si>
  <si>
    <t>Aden</t>
  </si>
  <si>
    <t>wli68@bu.edu</t>
  </si>
  <si>
    <t>Winnie</t>
  </si>
  <si>
    <t>apyao@bu.edu</t>
  </si>
  <si>
    <t>Yao</t>
  </si>
  <si>
    <t>feli@bu.edu</t>
  </si>
  <si>
    <t>Alfaro</t>
  </si>
  <si>
    <t>Luis</t>
  </si>
  <si>
    <t>joaquink@bu.edu</t>
  </si>
  <si>
    <t>Ko</t>
  </si>
  <si>
    <t>Joaquin Antonio</t>
  </si>
  <si>
    <t>???</t>
  </si>
  <si>
    <t>2 Rotational DOF High Vacuum Manipulator</t>
  </si>
  <si>
    <t>Emil Atz, emilatz@bu.edu</t>
  </si>
  <si>
    <t>Boston University Space Physics and Technology Lab</t>
  </si>
  <si>
    <t>dculrich@bu.edu</t>
  </si>
  <si>
    <t>Ulrich</t>
  </si>
  <si>
    <t>Functionsl Roller Coaster Model -- 3D Printed</t>
  </si>
  <si>
    <t>Daniel Ulrich, dculrich@bu.edu</t>
  </si>
  <si>
    <t>camarih@bu.edu</t>
  </si>
  <si>
    <t>Chakaiya</t>
  </si>
  <si>
    <t>oathouts@bu.edu</t>
  </si>
  <si>
    <t>Oathout</t>
  </si>
  <si>
    <t>sar3@bu.edu</t>
  </si>
  <si>
    <t>Alizadeh-Shabdiz</t>
  </si>
  <si>
    <t>Sarah</t>
  </si>
  <si>
    <t>ethanl66@bu.edu</t>
  </si>
  <si>
    <t>Liang</t>
  </si>
  <si>
    <t>Smart Badminton Training Robot for Shuttle Feeding and Collection</t>
  </si>
  <si>
    <t>ECE: Ethan Liang, Selena Liu, Gordon Zhu | ME: Maosheng Wu, Ho Ian Ye</t>
  </si>
  <si>
    <t>mw1230@bu.edu</t>
  </si>
  <si>
    <t>Wu</t>
  </si>
  <si>
    <t>Maosheng</t>
  </si>
  <si>
    <t>hye@bu.edu</t>
  </si>
  <si>
    <t>Ye</t>
  </si>
  <si>
    <t>Ho Ian</t>
  </si>
  <si>
    <t>selenall@bu.edu</t>
  </si>
  <si>
    <t>Selena</t>
  </si>
  <si>
    <t>gordonz@bu.edu</t>
  </si>
  <si>
    <t>Zhu</t>
  </si>
  <si>
    <t>Gordon</t>
  </si>
  <si>
    <t>dmling26@bu.edu</t>
  </si>
  <si>
    <t>Ling</t>
  </si>
  <si>
    <t>Dylan</t>
  </si>
  <si>
    <t>starlion@bu.edu</t>
  </si>
  <si>
    <t>Jiang</t>
  </si>
  <si>
    <t>Xingjian</t>
  </si>
  <si>
    <t>Groceries Robot</t>
  </si>
  <si>
    <t>Pree Simphliphan, Computer Engineering</t>
  </si>
  <si>
    <t>ECE ID</t>
  </si>
  <si>
    <t>prees26@bu.edu</t>
  </si>
  <si>
    <t>Simphliphan</t>
  </si>
  <si>
    <t>Pree</t>
  </si>
  <si>
    <t>darrens@bu.edu</t>
  </si>
  <si>
    <t>Sajino</t>
  </si>
  <si>
    <t>Darren</t>
  </si>
  <si>
    <t>bach3012@bu.edu</t>
  </si>
  <si>
    <t>Bach</t>
  </si>
  <si>
    <t>bxu01@bu.edu</t>
  </si>
  <si>
    <t>Xu</t>
  </si>
  <si>
    <t>Bernie</t>
  </si>
  <si>
    <t>podkosov@bu.edu</t>
  </si>
  <si>
    <t>Podkosov</t>
  </si>
  <si>
    <t>Egor</t>
  </si>
  <si>
    <t>Wind powered autonomous reseach vessel</t>
  </si>
  <si>
    <t>varsingh@bu.edu</t>
  </si>
  <si>
    <t>Singh</t>
  </si>
  <si>
    <t>Varsha</t>
  </si>
  <si>
    <t>Autonomous Delivery Robot</t>
  </si>
  <si>
    <t>Audrey Wang, axwang@bu.edu, MechE</t>
  </si>
  <si>
    <t>axwang@bu.edu</t>
  </si>
  <si>
    <t>Audrey</t>
  </si>
  <si>
    <t>kliu3816@bu.edu</t>
  </si>
  <si>
    <t>Kevin</t>
  </si>
  <si>
    <t>lrchung@bu.edu</t>
  </si>
  <si>
    <t>Chung</t>
  </si>
  <si>
    <t>Lillian</t>
  </si>
  <si>
    <t>kweon10@bu.edu</t>
  </si>
  <si>
    <t>Kweon</t>
  </si>
  <si>
    <t>Yongjoon</t>
  </si>
  <si>
    <t>choff26@bu.edu</t>
  </si>
  <si>
    <t>Hoffmeister</t>
  </si>
  <si>
    <t>Compact Space Deployment System for Space Telescopes</t>
  </si>
  <si>
    <t>Brian Walsh</t>
  </si>
  <si>
    <t>dhingst@bu.edu</t>
  </si>
  <si>
    <t>Hingst</t>
  </si>
  <si>
    <t>Delaney</t>
  </si>
  <si>
    <t>cestok@bu.edu</t>
  </si>
  <si>
    <t>Estok</t>
  </si>
  <si>
    <t>Connor</t>
  </si>
  <si>
    <t>madecker@bu.edu</t>
  </si>
  <si>
    <t>Decker</t>
  </si>
  <si>
    <t>Mark</t>
  </si>
  <si>
    <t>ltrush@bu.edu</t>
  </si>
  <si>
    <t>Rush</t>
  </si>
  <si>
    <t>Landon</t>
  </si>
  <si>
    <t>Aero-Sub  UAAV</t>
  </si>
  <si>
    <t>jmroman@bu.edu</t>
  </si>
  <si>
    <t>joshwong@bu.edu</t>
  </si>
  <si>
    <t>Wong</t>
  </si>
  <si>
    <t>jhoussan@bu.edu</t>
  </si>
  <si>
    <t>Houssan</t>
  </si>
  <si>
    <t>Joseph</t>
  </si>
  <si>
    <t>herzberg@bu.edu</t>
  </si>
  <si>
    <t>Herzberg</t>
  </si>
  <si>
    <t>Roman</t>
  </si>
  <si>
    <t>John</t>
  </si>
  <si>
    <t>jackagro@bu.edu</t>
  </si>
  <si>
    <t>Agro</t>
  </si>
  <si>
    <t>Jack</t>
  </si>
  <si>
    <t>cedoltra@bu.edu</t>
  </si>
  <si>
    <t>Oltramare</t>
  </si>
  <si>
    <t>Cedric</t>
  </si>
  <si>
    <t>david101@bu.edu</t>
  </si>
  <si>
    <t>Tamen</t>
  </si>
  <si>
    <t>David</t>
  </si>
  <si>
    <t>Sentinel-XE: Environmental Guardian Reconnaissance Drone</t>
  </si>
  <si>
    <t>Anthony Kurtzer,  amk26@bu.edu</t>
  </si>
  <si>
    <t>Student proposed</t>
  </si>
  <si>
    <t>amk26@bu.edu</t>
  </si>
  <si>
    <t>Kurtzer</t>
  </si>
  <si>
    <t>Anthony</t>
  </si>
  <si>
    <t>ovedalex@bu.edu</t>
  </si>
  <si>
    <t>Oved</t>
  </si>
  <si>
    <t>Alex</t>
  </si>
  <si>
    <t>msama@bu.edu</t>
  </si>
  <si>
    <t>Sama</t>
  </si>
  <si>
    <t>Michael</t>
  </si>
  <si>
    <t>jli1012@bu.edu</t>
  </si>
  <si>
    <t>Justen</t>
  </si>
  <si>
    <t>Disaster Relief Drone with Visual SLAM and Thermal Imaging</t>
  </si>
  <si>
    <t xml:space="preserve">whoshi@bu.edu Wataru Hoshi, Justen Li </t>
  </si>
  <si>
    <t>whoshi@bu.edu</t>
  </si>
  <si>
    <t>Hoshi</t>
  </si>
  <si>
    <t>Wataru</t>
  </si>
  <si>
    <t>jonthea@bu.edu</t>
  </si>
  <si>
    <t>Thea</t>
  </si>
  <si>
    <t>Jonathan</t>
  </si>
  <si>
    <t>vinnyli@bu.edu</t>
  </si>
  <si>
    <t>Vincent</t>
  </si>
  <si>
    <t>seppley@bu.edu</t>
  </si>
  <si>
    <t>Eppley</t>
  </si>
  <si>
    <t>Reactive Road SIgns</t>
  </si>
  <si>
    <t>Sam Eppley, seppley@bu.edu</t>
  </si>
  <si>
    <t>erikrh@bu.edu</t>
  </si>
  <si>
    <t>Hogset</t>
  </si>
  <si>
    <t>Erik</t>
  </si>
  <si>
    <t>ddmurphy@bu.edu</t>
  </si>
  <si>
    <t>Murphy</t>
  </si>
  <si>
    <t>Dominic</t>
  </si>
  <si>
    <t>Modular Controller</t>
  </si>
  <si>
    <t>bjoseph@bu.edu</t>
  </si>
  <si>
    <t>leom@bu.edu</t>
  </si>
  <si>
    <t>Mattos Martins</t>
  </si>
  <si>
    <t>Leonardo</t>
  </si>
  <si>
    <t>bhvikram@bu.edu</t>
  </si>
  <si>
    <t>Bhalla</t>
  </si>
  <si>
    <t>Vikram</t>
  </si>
  <si>
    <t>khlin@bu.edu</t>
  </si>
  <si>
    <t>Koen</t>
  </si>
  <si>
    <t>Jonnyw@bu.edu</t>
  </si>
  <si>
    <t>Jonny</t>
  </si>
  <si>
    <t>xinyuwu@bu.edu</t>
  </si>
  <si>
    <t>WU</t>
  </si>
  <si>
    <t>XINYU</t>
  </si>
  <si>
    <t>Emotional Clue Classifier</t>
  </si>
  <si>
    <t>AI-Driven Histomorphometric Platform for Quantifying Cell Heterogeneity via Collagen Organization</t>
  </si>
  <si>
    <t>anajz@bu.edu</t>
  </si>
  <si>
    <t>Jaquez Zarate</t>
  </si>
  <si>
    <t>Impinging Jet Design for Cooling</t>
  </si>
  <si>
    <t>ASML</t>
  </si>
  <si>
    <t>Anya Keller</t>
  </si>
  <si>
    <t>sgamboa@bu.edu</t>
  </si>
  <si>
    <t>Gamboa</t>
  </si>
  <si>
    <t>Susan</t>
  </si>
  <si>
    <t>High Acceleration Test Stand with Flywheel ASML</t>
  </si>
  <si>
    <t>sahagian@bu.edu</t>
  </si>
  <si>
    <t>Sahagian`</t>
  </si>
  <si>
    <t>Brian</t>
  </si>
  <si>
    <t>Mobile Water Quality Sensor</t>
  </si>
  <si>
    <t>Prof. Konrad</t>
  </si>
  <si>
    <t>ssnekvik@bu.edu</t>
  </si>
  <si>
    <t>Snekvik</t>
  </si>
  <si>
    <t>Stephen</t>
  </si>
  <si>
    <t>Compact non imaging optical interferometric biosensor</t>
  </si>
  <si>
    <t>Selim Unlu</t>
  </si>
  <si>
    <t>selim@bu.edu</t>
  </si>
  <si>
    <t>183A</t>
  </si>
  <si>
    <t>wmaharry@bu.edu</t>
  </si>
  <si>
    <t>Maharry</t>
  </si>
  <si>
    <t>Photonics Alley Wind Turbine</t>
  </si>
  <si>
    <t>F DiBella</t>
  </si>
  <si>
    <t>dlist@bu.edu</t>
  </si>
  <si>
    <t>List</t>
  </si>
  <si>
    <t>mfsilva@bu.edu</t>
  </si>
  <si>
    <t>Silva</t>
  </si>
  <si>
    <t>Miguel</t>
  </si>
  <si>
    <t>mbs@bu.edu</t>
  </si>
  <si>
    <t>Sherlock</t>
  </si>
  <si>
    <t>Maeve</t>
  </si>
  <si>
    <t>sluce@bu.edu</t>
  </si>
  <si>
    <t>Luce</t>
  </si>
  <si>
    <t>miafail@bu.edu</t>
  </si>
  <si>
    <t>Faillaci</t>
  </si>
  <si>
    <t>Mia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</si>
</sst>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0"/>
      <color rgb="FF434343"/>
      <name val="Roboto"/>
    </font>
    <font>
      <sz val="10"/>
      <color theme="10"/>
      <name val="Arial"/>
      <family val="2"/>
    </font>
    <font>
      <sz val="11"/>
      <color theme="1"/>
      <name val="Aptos"/>
      <family val="2"/>
    </font>
    <font>
      <sz val="10"/>
      <color rgb="FF000000"/>
      <name val="Aptos Narrow"/>
      <family val="2"/>
      <scheme val="minor"/>
    </font>
    <font>
      <sz val="10"/>
      <color rgb="FF1F1F1F"/>
      <name val="Aptos Narrow"/>
      <family val="2"/>
      <scheme val="minor"/>
    </font>
    <font>
      <sz val="11"/>
      <color rgb="FF000000"/>
      <name val="Calibri"/>
      <family val="2"/>
    </font>
    <font>
      <sz val="11"/>
      <color rgb="FF262626"/>
      <name val="Aptos"/>
      <family val="2"/>
    </font>
    <font>
      <sz val="8"/>
      <color rgb="FF262626"/>
      <name val="Aptos Narrow"/>
      <family val="2"/>
      <scheme val="minor"/>
    </font>
    <font>
      <sz val="12"/>
      <color rgb="FF000000"/>
      <name val="Aptos"/>
      <family val="2"/>
    </font>
    <font>
      <sz val="11"/>
      <color rgb="FF000000"/>
      <name val="Aptos"/>
      <family val="2"/>
    </font>
    <font>
      <sz val="11"/>
      <color rgb="FF000000"/>
      <name val="Aptos Narrow"/>
      <family val="2"/>
      <scheme val="minor"/>
    </font>
    <font>
      <sz val="11"/>
      <color rgb="FF202124"/>
      <name val="Aptos"/>
      <family val="2"/>
    </font>
  </fonts>
  <fills count="8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8F9FA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6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CCCCCC"/>
      </left>
      <right style="medium">
        <color rgb="FFF8F9FA"/>
      </right>
      <top style="medium">
        <color rgb="FFCCCCCC"/>
      </top>
      <bottom style="medium">
        <color rgb="FFF8F9FA"/>
      </bottom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 style="medium">
        <color rgb="FFF8F9FA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rgb="FFCCCCCC"/>
      </left>
      <right style="medium">
        <color rgb="FFF8F9FA"/>
      </right>
      <top style="medium">
        <color rgb="FFF8F9FA"/>
      </top>
      <bottom style="medium">
        <color rgb="FFF8F9FA"/>
      </bottom>
      <diagonal/>
    </border>
    <border>
      <left style="medium">
        <color indexed="64"/>
      </left>
      <right style="medium">
        <color rgb="FFFFFFFF"/>
      </right>
      <top style="medium">
        <color indexed="64"/>
      </top>
      <bottom style="medium">
        <color indexed="64"/>
      </bottom>
      <diagonal/>
    </border>
    <border>
      <left style="medium">
        <color rgb="FFCCCCCC"/>
      </left>
      <right style="medium">
        <color rgb="FFFFFFFF"/>
      </right>
      <top style="medium">
        <color indexed="64"/>
      </top>
      <bottom style="medium">
        <color indexed="64"/>
      </bottom>
      <diagonal/>
    </border>
    <border>
      <left style="medium">
        <color rgb="FFCCCCCC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 style="medium">
        <color rgb="FF442F65"/>
      </bottom>
      <diagonal/>
    </border>
    <border>
      <left style="medium">
        <color indexed="64"/>
      </left>
      <right style="medium">
        <color rgb="FFFFFFFF"/>
      </right>
      <top style="medium">
        <color indexed="64"/>
      </top>
      <bottom style="medium">
        <color rgb="FFF8F9FA"/>
      </bottom>
      <diagonal/>
    </border>
    <border>
      <left style="medium">
        <color rgb="FFCCCCCC"/>
      </left>
      <right style="medium">
        <color rgb="FFFFFFFF"/>
      </right>
      <top style="medium">
        <color indexed="64"/>
      </top>
      <bottom style="medium">
        <color rgb="FFF8F9FA"/>
      </bottom>
      <diagonal/>
    </border>
    <border>
      <left style="medium">
        <color rgb="FFCCCCCC"/>
      </left>
      <right style="medium">
        <color indexed="64"/>
      </right>
      <top style="medium">
        <color indexed="64"/>
      </top>
      <bottom style="medium">
        <color rgb="FFF8F9FA"/>
      </bottom>
      <diagonal/>
    </border>
    <border>
      <left style="medium">
        <color indexed="64"/>
      </left>
      <right style="medium">
        <color rgb="FFF8F9FA"/>
      </right>
      <top style="medium">
        <color rgb="FFCCCCCC"/>
      </top>
      <bottom style="medium">
        <color indexed="64"/>
      </bottom>
      <diagonal/>
    </border>
    <border>
      <left style="medium">
        <color rgb="FFCCCCCC"/>
      </left>
      <right style="medium">
        <color rgb="FFF8F9FA"/>
      </right>
      <top style="medium">
        <color rgb="FFCCCCCC"/>
      </top>
      <bottom style="medium">
        <color indexed="64"/>
      </bottom>
      <diagonal/>
    </border>
    <border>
      <left style="medium">
        <color rgb="FFCCCCCC"/>
      </left>
      <right style="medium">
        <color indexed="64"/>
      </right>
      <top style="medium">
        <color rgb="FFCCCCCC"/>
      </top>
      <bottom style="medium">
        <color indexed="64"/>
      </bottom>
      <diagonal/>
    </border>
    <border>
      <left style="medium">
        <color indexed="64"/>
      </left>
      <right style="medium">
        <color rgb="FFF8F9FA"/>
      </right>
      <top style="medium">
        <color indexed="64"/>
      </top>
      <bottom style="medium">
        <color indexed="64"/>
      </bottom>
      <diagonal/>
    </border>
    <border>
      <left style="medium">
        <color rgb="FFCCCCCC"/>
      </left>
      <right style="medium">
        <color rgb="FFF8F9FA"/>
      </right>
      <top style="medium">
        <color indexed="64"/>
      </top>
      <bottom style="medium">
        <color indexed="64"/>
      </bottom>
      <diagonal/>
    </border>
    <border>
      <left style="medium">
        <color rgb="FFFFFFFF"/>
      </left>
      <right style="medium">
        <color rgb="FFFFFFFF"/>
      </right>
      <top style="medium">
        <color rgb="FFF8F9FA"/>
      </top>
      <bottom style="medium">
        <color rgb="FFF8F9FA"/>
      </bottom>
      <diagonal/>
    </border>
    <border>
      <left style="medium">
        <color rgb="FFCCCCCC"/>
      </left>
      <right style="medium">
        <color rgb="FFFFFFFF"/>
      </right>
      <top style="medium">
        <color rgb="FFF8F9FA"/>
      </top>
      <bottom style="medium">
        <color rgb="FFF8F9FA"/>
      </bottom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92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wrapText="1"/>
    </xf>
    <xf numFmtId="0" fontId="1" fillId="0" borderId="2" xfId="0" applyFont="1" applyBorder="1" applyAlignment="1">
      <alignment horizontal="center"/>
    </xf>
    <xf numFmtId="0" fontId="0" fillId="0" borderId="2" xfId="0" applyBorder="1"/>
    <xf numFmtId="0" fontId="0" fillId="0" borderId="3" xfId="0" applyBorder="1"/>
    <xf numFmtId="0" fontId="1" fillId="0" borderId="4" xfId="0" applyFont="1" applyBorder="1" applyAlignment="1">
      <alignment horizontal="center"/>
    </xf>
    <xf numFmtId="0" fontId="0" fillId="0" borderId="5" xfId="0" applyBorder="1"/>
    <xf numFmtId="0" fontId="3" fillId="2" borderId="6" xfId="0" applyFont="1" applyFill="1" applyBorder="1" applyAlignment="1">
      <alignment horizontal="center" vertical="center" wrapText="1"/>
    </xf>
    <xf numFmtId="0" fontId="3" fillId="3" borderId="7" xfId="0" applyFont="1" applyFill="1" applyBorder="1" applyAlignment="1">
      <alignment vertical="center" wrapText="1"/>
    </xf>
    <xf numFmtId="0" fontId="3" fillId="3" borderId="8" xfId="0" applyFont="1" applyFill="1" applyBorder="1" applyAlignment="1">
      <alignment vertical="center" wrapText="1"/>
    </xf>
    <xf numFmtId="0" fontId="3" fillId="3" borderId="9" xfId="0" applyFont="1" applyFill="1" applyBorder="1" applyAlignment="1">
      <alignment vertical="center" wrapText="1"/>
    </xf>
    <xf numFmtId="0" fontId="2" fillId="0" borderId="10" xfId="1" applyBorder="1" applyAlignment="1">
      <alignment horizontal="left"/>
    </xf>
    <xf numFmtId="0" fontId="0" fillId="0" borderId="8" xfId="0" applyBorder="1"/>
    <xf numFmtId="0" fontId="0" fillId="0" borderId="9" xfId="0" applyBorder="1"/>
    <xf numFmtId="0" fontId="3" fillId="4" borderId="11" xfId="0" applyFont="1" applyFill="1" applyBorder="1" applyAlignment="1">
      <alignment horizontal="center" vertical="center" wrapText="1"/>
    </xf>
    <xf numFmtId="0" fontId="3" fillId="5" borderId="12" xfId="0" applyFont="1" applyFill="1" applyBorder="1" applyAlignment="1">
      <alignment vertical="center" wrapText="1"/>
    </xf>
    <xf numFmtId="0" fontId="3" fillId="5" borderId="13" xfId="0" applyFont="1" applyFill="1" applyBorder="1" applyAlignment="1">
      <alignment vertical="center" wrapText="1"/>
    </xf>
    <xf numFmtId="0" fontId="3" fillId="5" borderId="14" xfId="0" applyFont="1" applyFill="1" applyBorder="1" applyAlignment="1">
      <alignment vertical="center" wrapText="1"/>
    </xf>
    <xf numFmtId="0" fontId="2" fillId="0" borderId="15" xfId="1" applyBorder="1" applyAlignment="1">
      <alignment horizontal="left"/>
    </xf>
    <xf numFmtId="0" fontId="0" fillId="0" borderId="16" xfId="0" applyBorder="1"/>
    <xf numFmtId="0" fontId="0" fillId="0" borderId="17" xfId="0" applyBorder="1"/>
    <xf numFmtId="0" fontId="3" fillId="3" borderId="18" xfId="0" applyFont="1" applyFill="1" applyBorder="1" applyAlignment="1">
      <alignment vertical="center" wrapText="1"/>
    </xf>
    <xf numFmtId="0" fontId="3" fillId="3" borderId="19" xfId="0" applyFont="1" applyFill="1" applyBorder="1" applyAlignment="1">
      <alignment vertical="center" wrapText="1"/>
    </xf>
    <xf numFmtId="0" fontId="3" fillId="3" borderId="20" xfId="0" applyFont="1" applyFill="1" applyBorder="1" applyAlignment="1">
      <alignment vertical="center" wrapText="1"/>
    </xf>
    <xf numFmtId="0" fontId="3" fillId="4" borderId="21" xfId="0" applyFont="1" applyFill="1" applyBorder="1" applyAlignment="1">
      <alignment horizontal="center" vertical="center" wrapText="1"/>
    </xf>
    <xf numFmtId="0" fontId="3" fillId="5" borderId="0" xfId="0" applyFont="1" applyFill="1" applyAlignment="1">
      <alignment vertical="center" wrapText="1"/>
    </xf>
    <xf numFmtId="0" fontId="2" fillId="0" borderId="22" xfId="1" applyBorder="1" applyAlignment="1">
      <alignment horizontal="left"/>
    </xf>
    <xf numFmtId="0" fontId="3" fillId="5" borderId="23" xfId="0" applyFont="1" applyFill="1" applyBorder="1" applyAlignment="1">
      <alignment horizontal="center" vertical="center" wrapText="1"/>
    </xf>
    <xf numFmtId="0" fontId="0" fillId="0" borderId="4" xfId="0" applyBorder="1" applyAlignment="1">
      <alignment horizontal="center"/>
    </xf>
    <xf numFmtId="0" fontId="2" fillId="0" borderId="12" xfId="1" applyBorder="1" applyAlignment="1">
      <alignment horizontal="left"/>
    </xf>
    <xf numFmtId="0" fontId="0" fillId="0" borderId="13" xfId="0" applyBorder="1"/>
    <xf numFmtId="0" fontId="0" fillId="0" borderId="14" xfId="0" applyBorder="1"/>
    <xf numFmtId="0" fontId="3" fillId="3" borderId="23" xfId="0" applyFont="1" applyFill="1" applyBorder="1" applyAlignment="1">
      <alignment horizontal="center" vertical="center" wrapText="1"/>
    </xf>
    <xf numFmtId="0" fontId="2" fillId="0" borderId="12" xfId="1" applyBorder="1"/>
    <xf numFmtId="0" fontId="3" fillId="5" borderId="24" xfId="0" applyFont="1" applyFill="1" applyBorder="1" applyAlignment="1">
      <alignment horizontal="center" vertical="center" wrapText="1"/>
    </xf>
    <xf numFmtId="0" fontId="2" fillId="0" borderId="25" xfId="1" applyBorder="1"/>
    <xf numFmtId="0" fontId="3" fillId="2" borderId="24" xfId="0" applyFont="1" applyFill="1" applyBorder="1" applyAlignment="1">
      <alignment horizontal="center" vertical="center" wrapText="1"/>
    </xf>
    <xf numFmtId="0" fontId="3" fillId="5" borderId="7" xfId="0" applyFont="1" applyFill="1" applyBorder="1" applyAlignment="1">
      <alignment vertical="center" wrapText="1"/>
    </xf>
    <xf numFmtId="0" fontId="3" fillId="5" borderId="8" xfId="0" applyFont="1" applyFill="1" applyBorder="1" applyAlignment="1">
      <alignment vertical="center" wrapText="1"/>
    </xf>
    <xf numFmtId="0" fontId="3" fillId="5" borderId="9" xfId="0" applyFont="1" applyFill="1" applyBorder="1" applyAlignment="1">
      <alignment vertical="center" wrapText="1"/>
    </xf>
    <xf numFmtId="0" fontId="4" fillId="0" borderId="25" xfId="0" applyFont="1" applyBorder="1" applyAlignment="1">
      <alignment horizontal="left"/>
    </xf>
    <xf numFmtId="0" fontId="3" fillId="4" borderId="24" xfId="0" applyFont="1" applyFill="1" applyBorder="1" applyAlignment="1">
      <alignment horizontal="center" vertical="center" wrapText="1"/>
    </xf>
    <xf numFmtId="0" fontId="3" fillId="3" borderId="12" xfId="0" applyFont="1" applyFill="1" applyBorder="1" applyAlignment="1">
      <alignment vertical="center" wrapText="1"/>
    </xf>
    <xf numFmtId="0" fontId="3" fillId="3" borderId="13" xfId="0" applyFont="1" applyFill="1" applyBorder="1" applyAlignment="1">
      <alignment vertical="center" wrapText="1"/>
    </xf>
    <xf numFmtId="0" fontId="3" fillId="3" borderId="14" xfId="0" applyFont="1" applyFill="1" applyBorder="1" applyAlignment="1">
      <alignment vertical="center" wrapText="1"/>
    </xf>
    <xf numFmtId="0" fontId="3" fillId="4" borderId="12" xfId="0" applyFont="1" applyFill="1" applyBorder="1" applyAlignment="1">
      <alignment vertical="center" wrapText="1"/>
    </xf>
    <xf numFmtId="0" fontId="3" fillId="4" borderId="13" xfId="0" applyFont="1" applyFill="1" applyBorder="1" applyAlignment="1">
      <alignment vertical="center" wrapText="1"/>
    </xf>
    <xf numFmtId="0" fontId="3" fillId="4" borderId="14" xfId="0" applyFont="1" applyFill="1" applyBorder="1" applyAlignment="1">
      <alignment vertical="center" wrapText="1"/>
    </xf>
    <xf numFmtId="0" fontId="3" fillId="4" borderId="18" xfId="0" applyFont="1" applyFill="1" applyBorder="1" applyAlignment="1">
      <alignment vertical="center" wrapText="1"/>
    </xf>
    <xf numFmtId="0" fontId="3" fillId="4" borderId="19" xfId="0" applyFont="1" applyFill="1" applyBorder="1" applyAlignment="1">
      <alignment vertical="center" wrapText="1"/>
    </xf>
    <xf numFmtId="0" fontId="3" fillId="4" borderId="20" xfId="0" applyFont="1" applyFill="1" applyBorder="1" applyAlignment="1">
      <alignment vertical="center" wrapText="1"/>
    </xf>
    <xf numFmtId="0" fontId="3" fillId="5" borderId="26" xfId="0" applyFont="1" applyFill="1" applyBorder="1" applyAlignment="1">
      <alignment vertical="center" wrapText="1"/>
    </xf>
    <xf numFmtId="0" fontId="3" fillId="5" borderId="27" xfId="0" applyFont="1" applyFill="1" applyBorder="1" applyAlignment="1">
      <alignment vertical="center" wrapText="1"/>
    </xf>
    <xf numFmtId="0" fontId="3" fillId="5" borderId="28" xfId="0" applyFont="1" applyFill="1" applyBorder="1" applyAlignment="1">
      <alignment vertical="center" wrapText="1"/>
    </xf>
    <xf numFmtId="0" fontId="1" fillId="2" borderId="4" xfId="0" applyFont="1" applyFill="1" applyBorder="1" applyAlignment="1">
      <alignment horizontal="center"/>
    </xf>
    <xf numFmtId="0" fontId="3" fillId="4" borderId="23" xfId="0" applyFont="1" applyFill="1" applyBorder="1" applyAlignment="1">
      <alignment horizontal="center" vertical="center" wrapText="1"/>
    </xf>
    <xf numFmtId="0" fontId="5" fillId="0" borderId="14" xfId="0" applyFont="1" applyBorder="1"/>
    <xf numFmtId="0" fontId="0" fillId="0" borderId="25" xfId="0" applyBorder="1"/>
    <xf numFmtId="0" fontId="3" fillId="3" borderId="29" xfId="0" applyFont="1" applyFill="1" applyBorder="1" applyAlignment="1">
      <alignment vertical="center" wrapText="1"/>
    </xf>
    <xf numFmtId="0" fontId="3" fillId="3" borderId="27" xfId="0" applyFont="1" applyFill="1" applyBorder="1" applyAlignment="1">
      <alignment vertical="center" wrapText="1"/>
    </xf>
    <xf numFmtId="0" fontId="3" fillId="3" borderId="30" xfId="0" applyFont="1" applyFill="1" applyBorder="1" applyAlignment="1">
      <alignment vertical="center" wrapText="1"/>
    </xf>
    <xf numFmtId="0" fontId="3" fillId="3" borderId="31" xfId="0" applyFont="1" applyFill="1" applyBorder="1" applyAlignment="1">
      <alignment vertical="center" wrapText="1"/>
    </xf>
    <xf numFmtId="0" fontId="3" fillId="3" borderId="32" xfId="0" applyFont="1" applyFill="1" applyBorder="1" applyAlignment="1">
      <alignment vertical="center" wrapText="1"/>
    </xf>
    <xf numFmtId="0" fontId="3" fillId="3" borderId="33" xfId="0" applyFont="1" applyFill="1" applyBorder="1" applyAlignment="1">
      <alignment vertical="center" wrapText="1"/>
    </xf>
    <xf numFmtId="0" fontId="3" fillId="6" borderId="24" xfId="0" applyFont="1" applyFill="1" applyBorder="1" applyAlignment="1">
      <alignment horizontal="center" vertical="center" wrapText="1"/>
    </xf>
    <xf numFmtId="0" fontId="3" fillId="5" borderId="16" xfId="0" applyFont="1" applyFill="1" applyBorder="1" applyAlignment="1">
      <alignment vertical="center" wrapText="1"/>
    </xf>
    <xf numFmtId="0" fontId="3" fillId="5" borderId="18" xfId="0" applyFont="1" applyFill="1" applyBorder="1" applyAlignment="1">
      <alignment vertical="center" wrapText="1"/>
    </xf>
    <xf numFmtId="0" fontId="3" fillId="5" borderId="19" xfId="0" applyFont="1" applyFill="1" applyBorder="1" applyAlignment="1">
      <alignment vertical="center" wrapText="1"/>
    </xf>
    <xf numFmtId="0" fontId="3" fillId="5" borderId="20" xfId="0" applyFont="1" applyFill="1" applyBorder="1" applyAlignment="1">
      <alignment vertical="center" wrapText="1"/>
    </xf>
    <xf numFmtId="0" fontId="0" fillId="0" borderId="12" xfId="0" applyBorder="1"/>
    <xf numFmtId="0" fontId="3" fillId="6" borderId="9" xfId="0" applyFont="1" applyFill="1" applyBorder="1" applyAlignment="1">
      <alignment vertical="center" wrapText="1"/>
    </xf>
    <xf numFmtId="0" fontId="3" fillId="6" borderId="14" xfId="0" applyFont="1" applyFill="1" applyBorder="1" applyAlignment="1">
      <alignment vertical="center" wrapText="1"/>
    </xf>
    <xf numFmtId="0" fontId="3" fillId="6" borderId="20" xfId="0" applyFont="1" applyFill="1" applyBorder="1" applyAlignment="1">
      <alignment vertical="center" wrapText="1"/>
    </xf>
    <xf numFmtId="0" fontId="3" fillId="3" borderId="34" xfId="0" applyFont="1" applyFill="1" applyBorder="1" applyAlignment="1">
      <alignment vertical="center" wrapText="1"/>
    </xf>
    <xf numFmtId="0" fontId="3" fillId="3" borderId="35" xfId="0" applyFont="1" applyFill="1" applyBorder="1" applyAlignment="1">
      <alignment vertical="center" wrapText="1"/>
    </xf>
    <xf numFmtId="0" fontId="3" fillId="4" borderId="36" xfId="0" applyFont="1" applyFill="1" applyBorder="1" applyAlignment="1">
      <alignment vertical="center" wrapText="1"/>
    </xf>
    <xf numFmtId="0" fontId="3" fillId="7" borderId="9" xfId="0" applyFont="1" applyFill="1" applyBorder="1" applyAlignment="1">
      <alignment vertical="center" wrapText="1"/>
    </xf>
    <xf numFmtId="0" fontId="3" fillId="7" borderId="14" xfId="0" applyFont="1" applyFill="1" applyBorder="1" applyAlignment="1">
      <alignment vertical="center" wrapText="1"/>
    </xf>
    <xf numFmtId="0" fontId="3" fillId="7" borderId="20" xfId="0" applyFont="1" applyFill="1" applyBorder="1" applyAlignment="1">
      <alignment vertical="center" wrapText="1"/>
    </xf>
    <xf numFmtId="0" fontId="0" fillId="0" borderId="37" xfId="0" applyBorder="1" applyAlignment="1">
      <alignment horizontal="center"/>
    </xf>
    <xf numFmtId="0" fontId="0" fillId="0" borderId="38" xfId="0" applyBorder="1"/>
    <xf numFmtId="0" fontId="0" fillId="0" borderId="39" xfId="0" applyBorder="1"/>
    <xf numFmtId="0" fontId="6" fillId="0" borderId="25" xfId="0" applyFont="1" applyBorder="1"/>
    <xf numFmtId="0" fontId="3" fillId="5" borderId="35" xfId="0" applyFont="1" applyFill="1" applyBorder="1" applyAlignment="1">
      <alignment vertical="center" wrapText="1"/>
    </xf>
    <xf numFmtId="0" fontId="6" fillId="0" borderId="13" xfId="0" applyFont="1" applyBorder="1"/>
    <xf numFmtId="0" fontId="0" fillId="0" borderId="22" xfId="0" applyBorder="1" applyAlignment="1">
      <alignment horizontal="center"/>
    </xf>
    <xf numFmtId="0" fontId="0" fillId="0" borderId="12" xfId="0" applyBorder="1" applyAlignment="1">
      <alignment horizontal="center"/>
    </xf>
    <xf numFmtId="0" fontId="6" fillId="0" borderId="12" xfId="0" applyFont="1" applyBorder="1"/>
    <xf numFmtId="0" fontId="7" fillId="0" borderId="25" xfId="0" applyFont="1" applyBorder="1"/>
    <xf numFmtId="0" fontId="7" fillId="0" borderId="13" xfId="0" applyFont="1" applyBorder="1"/>
    <xf numFmtId="0" fontId="3" fillId="3" borderId="16" xfId="0" applyFont="1" applyFill="1" applyBorder="1" applyAlignment="1">
      <alignment vertical="center" wrapText="1"/>
    </xf>
    <xf numFmtId="0" fontId="3" fillId="6" borderId="23" xfId="0" applyFont="1" applyFill="1" applyBorder="1" applyAlignment="1">
      <alignment horizontal="center" vertical="center" wrapText="1"/>
    </xf>
    <xf numFmtId="0" fontId="3" fillId="5" borderId="40" xfId="0" applyFont="1" applyFill="1" applyBorder="1" applyAlignment="1">
      <alignment vertical="center" wrapText="1"/>
    </xf>
    <xf numFmtId="0" fontId="7" fillId="0" borderId="12" xfId="0" applyFont="1" applyBorder="1"/>
    <xf numFmtId="0" fontId="3" fillId="3" borderId="41" xfId="0" applyFont="1" applyFill="1" applyBorder="1" applyAlignment="1">
      <alignment vertical="center" wrapText="1"/>
    </xf>
    <xf numFmtId="0" fontId="3" fillId="4" borderId="42" xfId="0" applyFont="1" applyFill="1" applyBorder="1" applyAlignment="1">
      <alignment horizontal="center" vertical="center" wrapText="1"/>
    </xf>
    <xf numFmtId="0" fontId="3" fillId="4" borderId="9" xfId="0" applyFont="1" applyFill="1" applyBorder="1" applyAlignment="1">
      <alignment vertical="center" wrapText="1"/>
    </xf>
    <xf numFmtId="0" fontId="1" fillId="4" borderId="4" xfId="0" applyFont="1" applyFill="1" applyBorder="1" applyAlignment="1">
      <alignment horizontal="center"/>
    </xf>
    <xf numFmtId="0" fontId="3" fillId="2" borderId="43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3" fillId="4" borderId="34" xfId="0" applyFont="1" applyFill="1" applyBorder="1" applyAlignment="1">
      <alignment vertical="center" wrapText="1"/>
    </xf>
    <xf numFmtId="0" fontId="3" fillId="4" borderId="35" xfId="0" applyFont="1" applyFill="1" applyBorder="1" applyAlignment="1">
      <alignment vertical="center" wrapText="1"/>
    </xf>
    <xf numFmtId="0" fontId="3" fillId="3" borderId="24" xfId="0" applyFont="1" applyFill="1" applyBorder="1" applyAlignment="1">
      <alignment horizontal="center" vertical="center" wrapText="1"/>
    </xf>
    <xf numFmtId="0" fontId="3" fillId="3" borderId="44" xfId="0" applyFont="1" applyFill="1" applyBorder="1" applyAlignment="1">
      <alignment horizontal="center" vertical="center" wrapText="1"/>
    </xf>
    <xf numFmtId="0" fontId="6" fillId="0" borderId="29" xfId="0" applyFont="1" applyBorder="1"/>
    <xf numFmtId="0" fontId="6" fillId="0" borderId="27" xfId="0" applyFont="1" applyBorder="1"/>
    <xf numFmtId="0" fontId="0" fillId="0" borderId="27" xfId="0" applyBorder="1"/>
    <xf numFmtId="0" fontId="0" fillId="0" borderId="30" xfId="0" applyBorder="1"/>
    <xf numFmtId="0" fontId="7" fillId="0" borderId="10" xfId="0" applyFont="1" applyBorder="1"/>
    <xf numFmtId="0" fontId="6" fillId="0" borderId="8" xfId="0" applyFont="1" applyBorder="1"/>
    <xf numFmtId="0" fontId="5" fillId="4" borderId="18" xfId="0" applyFont="1" applyFill="1" applyBorder="1"/>
    <xf numFmtId="0" fontId="5" fillId="4" borderId="19" xfId="0" applyFont="1" applyFill="1" applyBorder="1"/>
    <xf numFmtId="0" fontId="5" fillId="4" borderId="20" xfId="0" applyFont="1" applyFill="1" applyBorder="1" applyAlignment="1">
      <alignment horizontal="left"/>
    </xf>
    <xf numFmtId="0" fontId="0" fillId="4" borderId="19" xfId="0" applyFill="1" applyBorder="1"/>
    <xf numFmtId="0" fontId="2" fillId="3" borderId="7" xfId="1" applyFill="1" applyBorder="1" applyAlignment="1">
      <alignment vertical="center" wrapText="1"/>
    </xf>
    <xf numFmtId="0" fontId="3" fillId="6" borderId="43" xfId="0" applyFont="1" applyFill="1" applyBorder="1" applyAlignment="1">
      <alignment horizontal="center" vertical="center" wrapText="1"/>
    </xf>
    <xf numFmtId="0" fontId="3" fillId="4" borderId="7" xfId="0" applyFont="1" applyFill="1" applyBorder="1" applyAlignment="1">
      <alignment vertical="center" wrapText="1"/>
    </xf>
    <xf numFmtId="0" fontId="3" fillId="4" borderId="8" xfId="0" applyFont="1" applyFill="1" applyBorder="1" applyAlignment="1">
      <alignment vertical="center" wrapText="1"/>
    </xf>
    <xf numFmtId="0" fontId="6" fillId="0" borderId="45" xfId="0" applyFont="1" applyBorder="1"/>
    <xf numFmtId="0" fontId="6" fillId="0" borderId="19" xfId="0" applyFont="1" applyBorder="1"/>
    <xf numFmtId="0" fontId="0" fillId="0" borderId="19" xfId="0" applyBorder="1"/>
    <xf numFmtId="0" fontId="0" fillId="0" borderId="20" xfId="0" applyBorder="1"/>
    <xf numFmtId="0" fontId="6" fillId="0" borderId="15" xfId="0" applyFont="1" applyBorder="1"/>
    <xf numFmtId="0" fontId="6" fillId="0" borderId="16" xfId="0" applyFont="1" applyBorder="1"/>
    <xf numFmtId="0" fontId="3" fillId="3" borderId="37" xfId="0" applyFont="1" applyFill="1" applyBorder="1" applyAlignment="1">
      <alignment vertical="center" wrapText="1"/>
    </xf>
    <xf numFmtId="0" fontId="3" fillId="3" borderId="38" xfId="0" applyFont="1" applyFill="1" applyBorder="1" applyAlignment="1">
      <alignment vertical="center" wrapText="1"/>
    </xf>
    <xf numFmtId="0" fontId="3" fillId="3" borderId="39" xfId="0" applyFont="1" applyFill="1" applyBorder="1" applyAlignment="1">
      <alignment vertical="center" wrapText="1"/>
    </xf>
    <xf numFmtId="0" fontId="3" fillId="4" borderId="43" xfId="0" applyFont="1" applyFill="1" applyBorder="1" applyAlignment="1">
      <alignment horizontal="center" vertical="center" wrapText="1"/>
    </xf>
    <xf numFmtId="0" fontId="3" fillId="5" borderId="4" xfId="0" applyFont="1" applyFill="1" applyBorder="1" applyAlignment="1">
      <alignment vertical="center" wrapText="1"/>
    </xf>
    <xf numFmtId="0" fontId="3" fillId="5" borderId="5" xfId="0" applyFont="1" applyFill="1" applyBorder="1" applyAlignment="1">
      <alignment vertical="center" wrapText="1"/>
    </xf>
    <xf numFmtId="0" fontId="8" fillId="0" borderId="25" xfId="0" applyFont="1" applyBorder="1" applyAlignment="1">
      <alignment horizontal="justify" vertical="center"/>
    </xf>
    <xf numFmtId="0" fontId="8" fillId="0" borderId="12" xfId="0" applyFont="1" applyBorder="1" applyAlignment="1">
      <alignment horizontal="justify" vertical="center"/>
    </xf>
    <xf numFmtId="0" fontId="8" fillId="0" borderId="13" xfId="0" applyFont="1" applyBorder="1" applyAlignment="1">
      <alignment horizontal="justify" vertical="center"/>
    </xf>
    <xf numFmtId="0" fontId="0" fillId="0" borderId="13" xfId="0" applyBorder="1" applyAlignment="1">
      <alignment wrapText="1"/>
    </xf>
    <xf numFmtId="0" fontId="8" fillId="0" borderId="13" xfId="0" applyFont="1" applyBorder="1"/>
    <xf numFmtId="0" fontId="9" fillId="0" borderId="13" xfId="0" applyFont="1" applyBorder="1"/>
    <xf numFmtId="0" fontId="10" fillId="0" borderId="13" xfId="0" applyFont="1" applyBorder="1"/>
    <xf numFmtId="0" fontId="3" fillId="5" borderId="46" xfId="0" applyFont="1" applyFill="1" applyBorder="1" applyAlignment="1">
      <alignment vertical="center" wrapText="1"/>
    </xf>
    <xf numFmtId="0" fontId="11" fillId="0" borderId="25" xfId="0" applyFont="1" applyBorder="1" applyAlignment="1">
      <alignment vertical="center"/>
    </xf>
    <xf numFmtId="0" fontId="12" fillId="0" borderId="13" xfId="0" applyFont="1" applyBorder="1"/>
    <xf numFmtId="0" fontId="6" fillId="0" borderId="14" xfId="0" applyFont="1" applyBorder="1"/>
    <xf numFmtId="0" fontId="3" fillId="3" borderId="47" xfId="0" applyFont="1" applyFill="1" applyBorder="1" applyAlignment="1">
      <alignment vertical="center" wrapText="1"/>
    </xf>
    <xf numFmtId="0" fontId="3" fillId="3" borderId="48" xfId="0" applyFont="1" applyFill="1" applyBorder="1" applyAlignment="1">
      <alignment vertical="center" wrapText="1"/>
    </xf>
    <xf numFmtId="0" fontId="3" fillId="3" borderId="49" xfId="0" applyFont="1" applyFill="1" applyBorder="1" applyAlignment="1">
      <alignment vertical="center" wrapText="1"/>
    </xf>
    <xf numFmtId="0" fontId="11" fillId="0" borderId="12" xfId="0" applyFont="1" applyBorder="1" applyAlignment="1">
      <alignment vertical="center"/>
    </xf>
    <xf numFmtId="0" fontId="12" fillId="0" borderId="25" xfId="0" applyFont="1" applyBorder="1"/>
    <xf numFmtId="0" fontId="12" fillId="0" borderId="12" xfId="0" applyFont="1" applyBorder="1"/>
    <xf numFmtId="0" fontId="13" fillId="0" borderId="25" xfId="0" applyFont="1" applyBorder="1"/>
    <xf numFmtId="0" fontId="13" fillId="0" borderId="13" xfId="0" applyFont="1" applyBorder="1"/>
    <xf numFmtId="0" fontId="3" fillId="3" borderId="50" xfId="0" applyFont="1" applyFill="1" applyBorder="1" applyAlignment="1">
      <alignment vertical="center" wrapText="1"/>
    </xf>
    <xf numFmtId="0" fontId="13" fillId="0" borderId="12" xfId="0" applyFont="1" applyBorder="1"/>
    <xf numFmtId="0" fontId="2" fillId="0" borderId="13" xfId="1" applyBorder="1"/>
    <xf numFmtId="0" fontId="14" fillId="0" borderId="25" xfId="0" applyFont="1" applyBorder="1"/>
    <xf numFmtId="0" fontId="0" fillId="0" borderId="26" xfId="0" applyBorder="1"/>
    <xf numFmtId="0" fontId="14" fillId="0" borderId="27" xfId="0" applyFont="1" applyBorder="1"/>
    <xf numFmtId="0" fontId="2" fillId="0" borderId="0" xfId="1" applyBorder="1"/>
    <xf numFmtId="0" fontId="6" fillId="0" borderId="0" xfId="0" applyFont="1"/>
    <xf numFmtId="0" fontId="0" fillId="0" borderId="29" xfId="0" applyBorder="1" applyAlignment="1">
      <alignment horizontal="center"/>
    </xf>
    <xf numFmtId="0" fontId="3" fillId="3" borderId="51" xfId="0" applyFont="1" applyFill="1" applyBorder="1" applyAlignment="1">
      <alignment vertical="center" wrapText="1"/>
    </xf>
    <xf numFmtId="0" fontId="3" fillId="3" borderId="52" xfId="0" applyFont="1" applyFill="1" applyBorder="1" applyAlignment="1">
      <alignment vertical="center" wrapText="1"/>
    </xf>
    <xf numFmtId="0" fontId="3" fillId="3" borderId="53" xfId="0" applyFont="1" applyFill="1" applyBorder="1" applyAlignment="1">
      <alignment vertical="center" wrapText="1"/>
    </xf>
    <xf numFmtId="0" fontId="14" fillId="0" borderId="13" xfId="0" applyFont="1" applyBorder="1"/>
    <xf numFmtId="0" fontId="3" fillId="5" borderId="54" xfId="0" applyFont="1" applyFill="1" applyBorder="1" applyAlignment="1">
      <alignment vertical="center" wrapText="1"/>
    </xf>
    <xf numFmtId="0" fontId="3" fillId="5" borderId="55" xfId="0" applyFont="1" applyFill="1" applyBorder="1" applyAlignment="1">
      <alignment vertical="center" wrapText="1"/>
    </xf>
    <xf numFmtId="0" fontId="3" fillId="5" borderId="56" xfId="0" applyFont="1" applyFill="1" applyBorder="1" applyAlignment="1">
      <alignment vertical="center" wrapText="1"/>
    </xf>
    <xf numFmtId="0" fontId="0" fillId="0" borderId="31" xfId="0" applyBorder="1" applyAlignment="1">
      <alignment horizontal="center"/>
    </xf>
    <xf numFmtId="0" fontId="0" fillId="0" borderId="32" xfId="0" applyBorder="1"/>
    <xf numFmtId="0" fontId="0" fillId="0" borderId="33" xfId="0" applyBorder="1"/>
    <xf numFmtId="0" fontId="3" fillId="5" borderId="22" xfId="0" applyFont="1" applyFill="1" applyBorder="1" applyAlignment="1">
      <alignment vertical="center" wrapText="1"/>
    </xf>
    <xf numFmtId="0" fontId="3" fillId="5" borderId="17" xfId="0" applyFont="1" applyFill="1" applyBorder="1" applyAlignment="1">
      <alignment vertical="center" wrapText="1"/>
    </xf>
    <xf numFmtId="0" fontId="6" fillId="0" borderId="26" xfId="0" applyFont="1" applyBorder="1"/>
    <xf numFmtId="0" fontId="3" fillId="5" borderId="42" xfId="0" applyFont="1" applyFill="1" applyBorder="1" applyAlignment="1">
      <alignment horizontal="center" vertical="center" wrapText="1"/>
    </xf>
    <xf numFmtId="0" fontId="6" fillId="0" borderId="30" xfId="0" applyFont="1" applyBorder="1"/>
    <xf numFmtId="0" fontId="3" fillId="5" borderId="44" xfId="0" applyFont="1" applyFill="1" applyBorder="1" applyAlignment="1">
      <alignment horizontal="center" vertical="center" wrapText="1"/>
    </xf>
    <xf numFmtId="0" fontId="3" fillId="6" borderId="44" xfId="0" applyFont="1" applyFill="1" applyBorder="1" applyAlignment="1">
      <alignment horizontal="center" vertical="center" wrapText="1"/>
    </xf>
    <xf numFmtId="0" fontId="3" fillId="5" borderId="57" xfId="0" applyFont="1" applyFill="1" applyBorder="1" applyAlignment="1">
      <alignment vertical="center" wrapText="1"/>
    </xf>
    <xf numFmtId="0" fontId="3" fillId="5" borderId="58" xfId="0" applyFont="1" applyFill="1" applyBorder="1" applyAlignment="1">
      <alignment vertical="center" wrapText="1"/>
    </xf>
    <xf numFmtId="0" fontId="3" fillId="5" borderId="49" xfId="0" applyFont="1" applyFill="1" applyBorder="1" applyAlignment="1">
      <alignment vertical="center" wrapText="1"/>
    </xf>
    <xf numFmtId="0" fontId="3" fillId="5" borderId="25" xfId="0" applyFont="1" applyFill="1" applyBorder="1" applyAlignment="1">
      <alignment vertical="center" wrapText="1"/>
    </xf>
    <xf numFmtId="0" fontId="3" fillId="2" borderId="42" xfId="0" applyFont="1" applyFill="1" applyBorder="1" applyAlignment="1">
      <alignment horizontal="center" vertical="center" wrapText="1"/>
    </xf>
    <xf numFmtId="0" fontId="3" fillId="4" borderId="44" xfId="0" applyFont="1" applyFill="1" applyBorder="1" applyAlignment="1">
      <alignment horizontal="center" vertical="center" wrapText="1"/>
    </xf>
    <xf numFmtId="0" fontId="6" fillId="0" borderId="35" xfId="0" applyFont="1" applyBorder="1"/>
    <xf numFmtId="0" fontId="3" fillId="3" borderId="59" xfId="0" applyFont="1" applyFill="1" applyBorder="1" applyAlignment="1">
      <alignment vertical="center" wrapText="1"/>
    </xf>
    <xf numFmtId="0" fontId="3" fillId="3" borderId="60" xfId="0" applyFont="1" applyFill="1" applyBorder="1" applyAlignment="1">
      <alignment vertical="center" wrapText="1"/>
    </xf>
    <xf numFmtId="0" fontId="7" fillId="0" borderId="38" xfId="0" applyFont="1" applyBorder="1"/>
    <xf numFmtId="0" fontId="0" fillId="0" borderId="61" xfId="0" applyBorder="1"/>
    <xf numFmtId="0" fontId="0" fillId="0" borderId="4" xfId="0" applyBorder="1"/>
    <xf numFmtId="0" fontId="1" fillId="0" borderId="37" xfId="0" applyFont="1" applyBorder="1" applyAlignment="1">
      <alignment horizontal="center"/>
    </xf>
    <xf numFmtId="0" fontId="0" fillId="0" borderId="37" xfId="0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julieb@bu.edu" TargetMode="External"/><Relationship Id="rId3" Type="http://schemas.openxmlformats.org/officeDocument/2006/relationships/hyperlink" Target="https://docs.google.com/document/d/1sfN3lYzGIXWgbLAfWHtK4bFjQHcQ94TCicS41HB5F4U/edit" TargetMode="External"/><Relationship Id="rId7" Type="http://schemas.openxmlformats.org/officeDocument/2006/relationships/hyperlink" Target="mailto:whoshi@bu.edu%20Wataru%20Hoshi,%20Justen%20Li" TargetMode="External"/><Relationship Id="rId2" Type="http://schemas.openxmlformats.org/officeDocument/2006/relationships/hyperlink" Target="https://docs.google.com/document/d/1YOxxZOSNsb-9thlMvckQHLyCiCJEAE3-nEoiwd78EtA/edit" TargetMode="External"/><Relationship Id="rId1" Type="http://schemas.openxmlformats.org/officeDocument/2006/relationships/hyperlink" Target="https://docs.google.com/document/d/18XuWqZ1WBrMlsMOwpHRkOVjswPx_lY8aQnOfrPALEfI/edit" TargetMode="External"/><Relationship Id="rId6" Type="http://schemas.openxmlformats.org/officeDocument/2006/relationships/hyperlink" Target="https://docs.google.com/document/d/18Gx7YAW-kfsmT6HluI1x2sp1F1kuU3jO2c754_4CHIo/edit" TargetMode="External"/><Relationship Id="rId5" Type="http://schemas.openxmlformats.org/officeDocument/2006/relationships/hyperlink" Target="mailto:jmroman@bu.edu" TargetMode="External"/><Relationship Id="rId4" Type="http://schemas.openxmlformats.org/officeDocument/2006/relationships/hyperlink" Target="https://docs.google.com/document/d/1-s0_kOB3tSXl7McEfGC2VGjIoXfm5HIZ/edi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543D3B-BB1A-440D-AFF9-36A4C89CEC33}">
  <dimension ref="A2:K327"/>
  <sheetViews>
    <sheetView tabSelected="1" workbookViewId="0">
      <selection sqref="A1:XFD1048576"/>
    </sheetView>
  </sheetViews>
  <sheetFormatPr defaultRowHeight="14.4" x14ac:dyDescent="0.3"/>
  <cols>
    <col min="2" max="2" width="8.88671875" style="2"/>
    <col min="3" max="3" width="7.6640625" customWidth="1"/>
    <col min="4" max="4" width="29.5546875" style="1" customWidth="1"/>
    <col min="5" max="5" width="21.6640625" customWidth="1"/>
    <col min="6" max="6" width="23" customWidth="1"/>
    <col min="7" max="7" width="18.5546875" customWidth="1"/>
    <col min="8" max="8" width="67.33203125" customWidth="1"/>
    <col min="9" max="9" width="26.5546875" customWidth="1"/>
    <col min="10" max="10" width="47.21875" customWidth="1"/>
    <col min="11" max="11" width="22.44140625" customWidth="1"/>
  </cols>
  <sheetData>
    <row r="2" spans="1:11" x14ac:dyDescent="0.3">
      <c r="A2" s="1" t="s">
        <v>0</v>
      </c>
      <c r="B2" s="1">
        <f>COUNTIF(B$13:B$327,"=AL")</f>
        <v>8</v>
      </c>
      <c r="C2" s="1">
        <v>10</v>
      </c>
      <c r="D2" s="1" t="s">
        <v>1</v>
      </c>
    </row>
    <row r="3" spans="1:11" x14ac:dyDescent="0.3">
      <c r="A3" s="1" t="s">
        <v>2</v>
      </c>
      <c r="B3" s="1">
        <f>COUNTIF(B$13:B$327,"=EGW")</f>
        <v>8</v>
      </c>
      <c r="C3" s="1">
        <v>10</v>
      </c>
      <c r="D3" s="1" t="s">
        <v>3</v>
      </c>
    </row>
    <row r="4" spans="1:11" x14ac:dyDescent="0.3">
      <c r="A4" s="1" t="s">
        <v>4</v>
      </c>
      <c r="B4" s="1">
        <f>COUNTIF(B$13:B$327,"=EA")</f>
        <v>5</v>
      </c>
      <c r="C4" s="1">
        <v>5</v>
      </c>
      <c r="D4" s="1" t="s">
        <v>5</v>
      </c>
    </row>
    <row r="5" spans="1:11" x14ac:dyDescent="0.3">
      <c r="A5" s="1" t="s">
        <v>6</v>
      </c>
      <c r="B5" s="1">
        <f>COUNTIF(B$13:B$327,"=JG")</f>
        <v>10</v>
      </c>
      <c r="C5" s="1">
        <v>10</v>
      </c>
      <c r="D5" s="1" t="s">
        <v>7</v>
      </c>
    </row>
    <row r="6" spans="1:11" x14ac:dyDescent="0.3">
      <c r="A6" s="1" t="s">
        <v>8</v>
      </c>
      <c r="B6" s="1">
        <f>COUNTIF(B$13:B$327,"=SB")</f>
        <v>5</v>
      </c>
      <c r="C6" s="1">
        <v>5</v>
      </c>
      <c r="D6" s="1" t="s">
        <v>9</v>
      </c>
    </row>
    <row r="7" spans="1:11" x14ac:dyDescent="0.3">
      <c r="A7" s="1" t="s">
        <v>10</v>
      </c>
      <c r="B7" s="1">
        <f>COUNTIF(B$13:B$327,"=MA")</f>
        <v>6</v>
      </c>
      <c r="C7" s="1">
        <v>5</v>
      </c>
      <c r="D7" s="1" t="s">
        <v>11</v>
      </c>
    </row>
    <row r="8" spans="1:11" x14ac:dyDescent="0.3">
      <c r="A8" s="1" t="s">
        <v>12</v>
      </c>
      <c r="B8" s="1">
        <f>COUNTIF(B$13:B$327,"=UK")</f>
        <v>0</v>
      </c>
      <c r="C8" s="1"/>
      <c r="D8" s="1" t="s">
        <v>13</v>
      </c>
    </row>
    <row r="9" spans="1:11" x14ac:dyDescent="0.3">
      <c r="A9" s="1" t="s">
        <v>14</v>
      </c>
      <c r="B9" s="1">
        <f>COUNTIF(B$13:B$327,"=ECE")</f>
        <v>7</v>
      </c>
      <c r="C9" s="1"/>
      <c r="D9" s="1" t="s">
        <v>15</v>
      </c>
    </row>
    <row r="10" spans="1:11" x14ac:dyDescent="0.3">
      <c r="C10" s="1"/>
    </row>
    <row r="11" spans="1:11" x14ac:dyDescent="0.3">
      <c r="A11" s="1" t="s">
        <v>16</v>
      </c>
      <c r="B11" s="2">
        <f>SUM(B2:B8)</f>
        <v>42</v>
      </c>
    </row>
    <row r="12" spans="1:11" ht="15" thickBot="1" x14ac:dyDescent="0.35"/>
    <row r="13" spans="1:11" ht="37.200000000000003" customHeight="1" thickBot="1" x14ac:dyDescent="0.35">
      <c r="B13" s="3" t="s">
        <v>17</v>
      </c>
      <c r="C13" s="4" t="s">
        <v>18</v>
      </c>
      <c r="D13" s="5" t="s">
        <v>19</v>
      </c>
      <c r="E13" s="5" t="s">
        <v>20</v>
      </c>
      <c r="F13" s="5" t="s">
        <v>21</v>
      </c>
      <c r="G13" s="5" t="s">
        <v>22</v>
      </c>
      <c r="H13" s="5" t="s">
        <v>23</v>
      </c>
      <c r="I13" s="5" t="s">
        <v>24</v>
      </c>
      <c r="J13" s="6"/>
      <c r="K13" s="7"/>
    </row>
    <row r="14" spans="1:11" ht="15.6" thickTop="1" thickBot="1" x14ac:dyDescent="0.35">
      <c r="B14" s="8"/>
      <c r="K14" s="9"/>
    </row>
    <row r="15" spans="1:11" x14ac:dyDescent="0.3">
      <c r="B15" s="8" t="s">
        <v>6</v>
      </c>
      <c r="C15" s="10">
        <v>9</v>
      </c>
      <c r="D15" s="11" t="s">
        <v>25</v>
      </c>
      <c r="E15" s="12" t="s">
        <v>26</v>
      </c>
      <c r="F15" s="12" t="s">
        <v>27</v>
      </c>
      <c r="G15" s="13" t="s">
        <v>28</v>
      </c>
      <c r="H15" s="14" t="s">
        <v>29</v>
      </c>
      <c r="I15" s="15"/>
      <c r="J15" s="15"/>
      <c r="K15" s="16"/>
    </row>
    <row r="16" spans="1:11" x14ac:dyDescent="0.3">
      <c r="B16" s="8"/>
      <c r="C16" s="17"/>
      <c r="D16" s="18" t="s">
        <v>30</v>
      </c>
      <c r="E16" s="19" t="s">
        <v>31</v>
      </c>
      <c r="F16" s="19" t="s">
        <v>32</v>
      </c>
      <c r="G16" s="20" t="s">
        <v>33</v>
      </c>
      <c r="H16" s="21"/>
      <c r="I16" s="22"/>
      <c r="J16" s="22"/>
      <c r="K16" s="23"/>
    </row>
    <row r="17" spans="2:11" x14ac:dyDescent="0.3">
      <c r="B17" s="8"/>
      <c r="C17" s="17"/>
      <c r="D17" s="18" t="s">
        <v>34</v>
      </c>
      <c r="E17" s="19" t="s">
        <v>35</v>
      </c>
      <c r="F17" s="19" t="s">
        <v>36</v>
      </c>
      <c r="G17" s="20" t="s">
        <v>28</v>
      </c>
      <c r="H17" s="21"/>
      <c r="I17" s="22"/>
      <c r="J17" s="22"/>
      <c r="K17" s="23"/>
    </row>
    <row r="18" spans="2:11" ht="15" thickBot="1" x14ac:dyDescent="0.35">
      <c r="B18" s="8"/>
      <c r="C18" s="17"/>
      <c r="D18" s="24"/>
      <c r="E18" s="25"/>
      <c r="F18" s="25"/>
      <c r="G18" s="26"/>
      <c r="H18" s="21"/>
      <c r="I18" s="22"/>
      <c r="J18" s="22"/>
      <c r="K18" s="23"/>
    </row>
    <row r="19" spans="2:11" x14ac:dyDescent="0.3">
      <c r="B19" s="8"/>
      <c r="C19" s="27"/>
      <c r="D19" s="28"/>
      <c r="E19" s="28"/>
      <c r="F19" s="28"/>
      <c r="G19" s="28"/>
      <c r="H19" s="29"/>
      <c r="I19" s="22"/>
      <c r="J19" s="22"/>
      <c r="K19" s="23"/>
    </row>
    <row r="20" spans="2:11" x14ac:dyDescent="0.3">
      <c r="B20" s="8"/>
      <c r="C20" s="30">
        <v>11</v>
      </c>
      <c r="D20" s="31"/>
      <c r="H20" s="32" t="s">
        <v>37</v>
      </c>
      <c r="I20" s="33"/>
      <c r="J20" s="33"/>
      <c r="K20" s="34"/>
    </row>
    <row r="21" spans="2:11" x14ac:dyDescent="0.3">
      <c r="B21" s="8"/>
      <c r="C21" s="35">
        <v>12</v>
      </c>
      <c r="D21" s="31"/>
      <c r="H21" s="32" t="s">
        <v>38</v>
      </c>
      <c r="I21" s="33"/>
      <c r="J21" s="33"/>
      <c r="K21" s="34"/>
    </row>
    <row r="22" spans="2:11" x14ac:dyDescent="0.3">
      <c r="B22" s="8"/>
      <c r="C22" s="30">
        <v>13</v>
      </c>
      <c r="D22" s="31"/>
      <c r="H22" s="36" t="s">
        <v>39</v>
      </c>
      <c r="I22" s="33"/>
      <c r="J22" s="33"/>
      <c r="K22" s="34"/>
    </row>
    <row r="23" spans="2:11" ht="15" thickBot="1" x14ac:dyDescent="0.35">
      <c r="B23" s="8"/>
      <c r="C23" s="37"/>
      <c r="D23" s="31"/>
      <c r="H23" s="38"/>
      <c r="I23" s="33"/>
      <c r="J23" s="33"/>
      <c r="K23" s="34"/>
    </row>
    <row r="24" spans="2:11" x14ac:dyDescent="0.3">
      <c r="B24" s="8" t="s">
        <v>6</v>
      </c>
      <c r="C24" s="39">
        <v>24</v>
      </c>
      <c r="D24" s="40" t="s">
        <v>40</v>
      </c>
      <c r="E24" s="41" t="s">
        <v>41</v>
      </c>
      <c r="F24" s="41" t="s">
        <v>42</v>
      </c>
      <c r="G24" s="42" t="s">
        <v>33</v>
      </c>
      <c r="H24" s="43" t="s">
        <v>43</v>
      </c>
      <c r="I24" s="33"/>
      <c r="J24" s="33"/>
      <c r="K24" s="34"/>
    </row>
    <row r="25" spans="2:11" ht="19.2" customHeight="1" x14ac:dyDescent="0.3">
      <c r="B25" s="8"/>
      <c r="C25" s="44"/>
      <c r="D25" s="45" t="s">
        <v>44</v>
      </c>
      <c r="E25" s="46" t="s">
        <v>45</v>
      </c>
      <c r="F25" s="46" t="s">
        <v>46</v>
      </c>
      <c r="G25" s="47" t="s">
        <v>33</v>
      </c>
      <c r="H25" s="43"/>
      <c r="I25" s="33"/>
      <c r="J25" s="33"/>
      <c r="K25" s="34"/>
    </row>
    <row r="26" spans="2:11" x14ac:dyDescent="0.3">
      <c r="B26" s="8"/>
      <c r="C26" s="44"/>
      <c r="D26" s="18" t="s">
        <v>47</v>
      </c>
      <c r="E26" s="19" t="s">
        <v>48</v>
      </c>
      <c r="F26" s="19" t="s">
        <v>49</v>
      </c>
      <c r="G26" s="20" t="s">
        <v>28</v>
      </c>
      <c r="H26" s="43"/>
      <c r="I26" s="33"/>
      <c r="J26" s="33"/>
      <c r="K26" s="34"/>
    </row>
    <row r="27" spans="2:11" x14ac:dyDescent="0.3">
      <c r="B27" s="8"/>
      <c r="C27" s="44"/>
      <c r="D27" s="48" t="s">
        <v>50</v>
      </c>
      <c r="E27" s="49" t="s">
        <v>51</v>
      </c>
      <c r="F27" s="49" t="s">
        <v>52</v>
      </c>
      <c r="G27" s="50" t="s">
        <v>28</v>
      </c>
      <c r="H27" s="43"/>
      <c r="I27" s="33"/>
      <c r="J27" s="33"/>
      <c r="K27" s="34"/>
    </row>
    <row r="28" spans="2:11" ht="15" thickBot="1" x14ac:dyDescent="0.35">
      <c r="B28" s="8"/>
      <c r="C28" s="44"/>
      <c r="D28" s="51" t="s">
        <v>53</v>
      </c>
      <c r="E28" s="52" t="s">
        <v>54</v>
      </c>
      <c r="F28" s="52" t="s">
        <v>55</v>
      </c>
      <c r="G28" s="53" t="s">
        <v>28</v>
      </c>
      <c r="H28" s="43"/>
      <c r="I28" s="33"/>
      <c r="J28" s="33"/>
      <c r="K28" s="34"/>
    </row>
    <row r="29" spans="2:11" x14ac:dyDescent="0.3">
      <c r="B29" s="8"/>
      <c r="C29" s="44"/>
      <c r="D29" s="54"/>
      <c r="E29" s="55"/>
      <c r="F29" s="55"/>
      <c r="G29" s="56"/>
      <c r="H29" s="43"/>
      <c r="I29" s="33"/>
      <c r="J29" s="33"/>
      <c r="K29" s="34"/>
    </row>
    <row r="30" spans="2:11" ht="15" thickBot="1" x14ac:dyDescent="0.35">
      <c r="B30" s="8"/>
      <c r="C30" s="44"/>
      <c r="D30" s="55"/>
      <c r="E30" s="55"/>
      <c r="F30" s="55"/>
      <c r="G30" s="55"/>
      <c r="H30" s="43"/>
      <c r="I30" s="33"/>
      <c r="J30" s="33"/>
      <c r="K30" s="34"/>
    </row>
    <row r="31" spans="2:11" x14ac:dyDescent="0.3">
      <c r="B31" s="57" t="s">
        <v>2</v>
      </c>
      <c r="C31" s="39">
        <v>84</v>
      </c>
      <c r="D31" s="40" t="s">
        <v>56</v>
      </c>
      <c r="E31" s="41" t="s">
        <v>57</v>
      </c>
      <c r="F31" s="41" t="s">
        <v>58</v>
      </c>
      <c r="G31" s="42" t="s">
        <v>28</v>
      </c>
      <c r="H31" s="38" t="s">
        <v>59</v>
      </c>
      <c r="I31" s="33"/>
      <c r="J31" s="33"/>
      <c r="K31" s="34"/>
    </row>
    <row r="32" spans="2:11" x14ac:dyDescent="0.3">
      <c r="B32" s="8"/>
      <c r="C32" s="44"/>
      <c r="D32" s="45" t="s">
        <v>60</v>
      </c>
      <c r="E32" s="46" t="s">
        <v>61</v>
      </c>
      <c r="F32" s="46" t="s">
        <v>62</v>
      </c>
      <c r="G32" s="47" t="s">
        <v>28</v>
      </c>
      <c r="H32" s="38"/>
      <c r="I32" s="33"/>
      <c r="J32" s="33"/>
      <c r="K32" s="34"/>
    </row>
    <row r="33" spans="2:11" x14ac:dyDescent="0.3">
      <c r="B33" s="8"/>
      <c r="C33" s="44"/>
      <c r="D33" s="18" t="s">
        <v>63</v>
      </c>
      <c r="E33" s="19" t="s">
        <v>64</v>
      </c>
      <c r="F33" s="19" t="s">
        <v>65</v>
      </c>
      <c r="G33" s="20" t="s">
        <v>28</v>
      </c>
      <c r="H33" s="38"/>
      <c r="I33" s="33"/>
      <c r="J33" s="33"/>
      <c r="K33" s="34"/>
    </row>
    <row r="34" spans="2:11" x14ac:dyDescent="0.3">
      <c r="B34" s="8"/>
      <c r="C34" s="44"/>
      <c r="D34" s="45" t="s">
        <v>66</v>
      </c>
      <c r="E34" s="46" t="s">
        <v>67</v>
      </c>
      <c r="F34" s="46" t="s">
        <v>68</v>
      </c>
      <c r="G34" s="47" t="s">
        <v>33</v>
      </c>
      <c r="H34" s="38"/>
      <c r="I34" s="33"/>
      <c r="J34" s="33"/>
      <c r="K34" s="34"/>
    </row>
    <row r="35" spans="2:11" ht="15" thickBot="1" x14ac:dyDescent="0.35">
      <c r="B35" s="8"/>
      <c r="C35" s="44"/>
      <c r="D35" s="24" t="s">
        <v>69</v>
      </c>
      <c r="E35" s="25" t="s">
        <v>70</v>
      </c>
      <c r="F35" s="25" t="s">
        <v>71</v>
      </c>
      <c r="G35" s="26" t="s">
        <v>28</v>
      </c>
      <c r="H35" s="38"/>
      <c r="I35" s="33"/>
      <c r="J35" s="33"/>
      <c r="K35" s="34"/>
    </row>
    <row r="36" spans="2:11" ht="15" thickBot="1" x14ac:dyDescent="0.35">
      <c r="B36" s="8"/>
      <c r="C36" s="58"/>
      <c r="D36" s="31"/>
      <c r="H36" s="36"/>
      <c r="I36" s="33"/>
      <c r="J36" s="33"/>
      <c r="K36" s="34"/>
    </row>
    <row r="37" spans="2:11" ht="15" customHeight="1" x14ac:dyDescent="0.3">
      <c r="B37" s="8" t="s">
        <v>0</v>
      </c>
      <c r="C37" s="39">
        <v>116</v>
      </c>
      <c r="D37" s="59" t="s">
        <v>72</v>
      </c>
      <c r="E37" s="41" t="s">
        <v>73</v>
      </c>
      <c r="F37" s="41" t="s">
        <v>74</v>
      </c>
      <c r="G37" s="42" t="s">
        <v>33</v>
      </c>
      <c r="H37" s="60" t="s">
        <v>75</v>
      </c>
      <c r="I37" s="33" t="s">
        <v>76</v>
      </c>
      <c r="J37" s="33"/>
      <c r="K37" s="34"/>
    </row>
    <row r="38" spans="2:11" ht="14.4" customHeight="1" x14ac:dyDescent="0.3">
      <c r="B38" s="8"/>
      <c r="C38" s="44"/>
      <c r="D38" s="18" t="s">
        <v>77</v>
      </c>
      <c r="E38" s="19" t="s">
        <v>78</v>
      </c>
      <c r="F38" s="19" t="s">
        <v>79</v>
      </c>
      <c r="G38" s="20" t="s">
        <v>33</v>
      </c>
      <c r="H38" s="60"/>
      <c r="I38" s="33"/>
      <c r="J38" s="33"/>
      <c r="K38" s="34"/>
    </row>
    <row r="39" spans="2:11" ht="15" thickBot="1" x14ac:dyDescent="0.35">
      <c r="B39" s="8"/>
      <c r="C39" s="44"/>
      <c r="D39" s="61" t="s">
        <v>80</v>
      </c>
      <c r="E39" s="62" t="s">
        <v>81</v>
      </c>
      <c r="F39" s="62" t="s">
        <v>82</v>
      </c>
      <c r="G39" s="63" t="s">
        <v>33</v>
      </c>
      <c r="H39" s="60"/>
      <c r="I39" s="33"/>
      <c r="J39" s="33"/>
      <c r="K39" s="34"/>
    </row>
    <row r="40" spans="2:11" x14ac:dyDescent="0.3">
      <c r="B40" s="8"/>
      <c r="C40" s="44"/>
      <c r="D40" s="11" t="s">
        <v>83</v>
      </c>
      <c r="E40" s="12" t="s">
        <v>84</v>
      </c>
      <c r="F40" s="12" t="s">
        <v>85</v>
      </c>
      <c r="G40" s="13" t="s">
        <v>28</v>
      </c>
      <c r="H40" s="60"/>
      <c r="I40" s="33"/>
      <c r="J40" s="33"/>
      <c r="K40" s="34"/>
    </row>
    <row r="41" spans="2:11" x14ac:dyDescent="0.3">
      <c r="B41" s="8"/>
      <c r="C41" s="44"/>
      <c r="D41" s="45" t="s">
        <v>86</v>
      </c>
      <c r="E41" s="46" t="s">
        <v>87</v>
      </c>
      <c r="F41" s="46" t="s">
        <v>88</v>
      </c>
      <c r="G41" s="47" t="s">
        <v>28</v>
      </c>
      <c r="H41" s="60"/>
      <c r="I41" s="33"/>
      <c r="J41" s="33"/>
      <c r="K41" s="34"/>
    </row>
    <row r="42" spans="2:11" x14ac:dyDescent="0.3">
      <c r="B42" s="8"/>
      <c r="C42" s="44"/>
      <c r="D42" s="18" t="s">
        <v>89</v>
      </c>
      <c r="E42" s="19" t="s">
        <v>90</v>
      </c>
      <c r="F42" s="19" t="s">
        <v>91</v>
      </c>
      <c r="G42" s="20" t="s">
        <v>28</v>
      </c>
      <c r="H42" s="60"/>
      <c r="I42" s="33"/>
      <c r="J42" s="33"/>
      <c r="K42" s="34"/>
    </row>
    <row r="43" spans="2:11" x14ac:dyDescent="0.3">
      <c r="B43" s="8"/>
      <c r="C43" s="44"/>
      <c r="D43" s="45" t="s">
        <v>92</v>
      </c>
      <c r="E43" s="46" t="s">
        <v>93</v>
      </c>
      <c r="F43" s="46" t="s">
        <v>94</v>
      </c>
      <c r="G43" s="47" t="s">
        <v>28</v>
      </c>
      <c r="H43" s="60"/>
      <c r="I43" s="33"/>
      <c r="J43" s="33"/>
      <c r="K43" s="34"/>
    </row>
    <row r="44" spans="2:11" ht="15" thickBot="1" x14ac:dyDescent="0.35">
      <c r="B44" s="8"/>
      <c r="C44" s="44"/>
      <c r="D44" s="24" t="s">
        <v>95</v>
      </c>
      <c r="E44" s="25" t="s">
        <v>96</v>
      </c>
      <c r="F44" s="25" t="s">
        <v>97</v>
      </c>
      <c r="G44" s="26" t="s">
        <v>28</v>
      </c>
      <c r="H44" s="60"/>
      <c r="I44" s="33"/>
      <c r="J44" s="33"/>
      <c r="K44" s="34"/>
    </row>
    <row r="45" spans="2:11" x14ac:dyDescent="0.3">
      <c r="B45" s="8"/>
      <c r="C45" s="44"/>
      <c r="H45" s="60"/>
      <c r="I45" s="33"/>
      <c r="J45" s="33"/>
      <c r="K45" s="34"/>
    </row>
    <row r="46" spans="2:11" ht="15" thickBot="1" x14ac:dyDescent="0.35">
      <c r="B46" s="8"/>
      <c r="C46" s="44"/>
      <c r="D46" s="64"/>
      <c r="E46" s="65"/>
      <c r="F46" s="65"/>
      <c r="G46" s="66"/>
      <c r="H46" s="60"/>
      <c r="I46" s="33"/>
      <c r="J46" s="33"/>
      <c r="K46" s="34"/>
    </row>
    <row r="47" spans="2:11" x14ac:dyDescent="0.3">
      <c r="B47" s="8"/>
      <c r="C47" s="67">
        <v>117</v>
      </c>
      <c r="D47" s="68"/>
      <c r="E47" s="68"/>
      <c r="F47" s="68"/>
      <c r="G47" s="68"/>
      <c r="H47" s="60" t="s">
        <v>98</v>
      </c>
      <c r="I47" s="33" t="s">
        <v>76</v>
      </c>
      <c r="J47" s="33"/>
      <c r="K47" s="34"/>
    </row>
    <row r="48" spans="2:11" ht="15" thickBot="1" x14ac:dyDescent="0.35">
      <c r="B48" s="8"/>
      <c r="C48" s="44"/>
      <c r="D48" s="62"/>
      <c r="E48" s="62"/>
      <c r="F48" s="62"/>
      <c r="G48" s="62"/>
      <c r="H48" s="60"/>
      <c r="I48" s="33"/>
      <c r="J48" s="33"/>
      <c r="K48" s="34"/>
    </row>
    <row r="49" spans="2:11" x14ac:dyDescent="0.3">
      <c r="B49" s="8" t="s">
        <v>0</v>
      </c>
      <c r="C49" s="39">
        <v>129</v>
      </c>
      <c r="D49" s="11" t="s">
        <v>99</v>
      </c>
      <c r="E49" s="12" t="s">
        <v>100</v>
      </c>
      <c r="F49" s="12" t="s">
        <v>101</v>
      </c>
      <c r="G49" s="13" t="s">
        <v>33</v>
      </c>
      <c r="H49" s="60" t="s">
        <v>102</v>
      </c>
      <c r="I49" s="33" t="s">
        <v>103</v>
      </c>
      <c r="J49" s="33"/>
      <c r="K49" s="34"/>
    </row>
    <row r="50" spans="2:11" x14ac:dyDescent="0.3">
      <c r="B50" s="8"/>
      <c r="C50" s="44"/>
      <c r="D50" s="45" t="s">
        <v>104</v>
      </c>
      <c r="E50" s="46" t="s">
        <v>105</v>
      </c>
      <c r="F50" s="46" t="s">
        <v>106</v>
      </c>
      <c r="G50" s="47" t="s">
        <v>28</v>
      </c>
      <c r="H50" s="60"/>
      <c r="I50" s="33"/>
      <c r="J50" s="33"/>
      <c r="K50" s="34"/>
    </row>
    <row r="51" spans="2:11" x14ac:dyDescent="0.3">
      <c r="B51" s="8"/>
      <c r="C51" s="44"/>
      <c r="D51" s="18" t="s">
        <v>107</v>
      </c>
      <c r="E51" s="19" t="s">
        <v>108</v>
      </c>
      <c r="F51" s="19" t="s">
        <v>109</v>
      </c>
      <c r="G51" s="20" t="s">
        <v>33</v>
      </c>
      <c r="H51" s="60"/>
      <c r="I51" s="33"/>
      <c r="J51" s="33"/>
      <c r="K51" s="34"/>
    </row>
    <row r="52" spans="2:11" ht="15" thickBot="1" x14ac:dyDescent="0.35">
      <c r="B52" s="8"/>
      <c r="C52" s="44"/>
      <c r="D52" s="69" t="s">
        <v>110</v>
      </c>
      <c r="E52" s="70" t="s">
        <v>111</v>
      </c>
      <c r="F52" s="70" t="s">
        <v>112</v>
      </c>
      <c r="G52" s="71" t="s">
        <v>33</v>
      </c>
      <c r="H52" s="60"/>
      <c r="I52" s="33"/>
      <c r="J52" s="33"/>
      <c r="K52" s="34"/>
    </row>
    <row r="53" spans="2:11" x14ac:dyDescent="0.3">
      <c r="B53" s="8"/>
      <c r="C53" s="58"/>
      <c r="D53" s="31"/>
      <c r="H53" s="72"/>
      <c r="I53" s="33"/>
      <c r="J53" s="33"/>
      <c r="K53" s="34"/>
    </row>
    <row r="54" spans="2:11" ht="15" thickBot="1" x14ac:dyDescent="0.35">
      <c r="B54" s="8"/>
      <c r="C54" s="58"/>
      <c r="D54" s="31"/>
      <c r="H54" s="72"/>
      <c r="I54" s="33"/>
      <c r="J54" s="33"/>
      <c r="K54" s="34"/>
    </row>
    <row r="55" spans="2:11" x14ac:dyDescent="0.3">
      <c r="B55" s="8" t="s">
        <v>0</v>
      </c>
      <c r="C55" s="39" t="s">
        <v>113</v>
      </c>
      <c r="D55" s="11" t="s">
        <v>114</v>
      </c>
      <c r="E55" s="12" t="s">
        <v>115</v>
      </c>
      <c r="F55" s="12" t="s">
        <v>116</v>
      </c>
      <c r="G55" s="73" t="s">
        <v>28</v>
      </c>
      <c r="H55" s="60" t="s">
        <v>117</v>
      </c>
      <c r="I55" s="33" t="s">
        <v>103</v>
      </c>
      <c r="J55" s="33"/>
      <c r="K55" s="34"/>
    </row>
    <row r="56" spans="2:11" x14ac:dyDescent="0.3">
      <c r="B56" s="8"/>
      <c r="C56" s="44"/>
      <c r="D56" s="45" t="s">
        <v>118</v>
      </c>
      <c r="E56" s="46" t="s">
        <v>119</v>
      </c>
      <c r="F56" s="46" t="s">
        <v>120</v>
      </c>
      <c r="G56" s="74" t="s">
        <v>28</v>
      </c>
      <c r="H56" s="60" t="s">
        <v>121</v>
      </c>
      <c r="I56" s="33"/>
      <c r="J56" s="33"/>
      <c r="K56" s="34"/>
    </row>
    <row r="57" spans="2:11" x14ac:dyDescent="0.3">
      <c r="B57" s="8"/>
      <c r="C57" s="44"/>
      <c r="D57" s="18" t="s">
        <v>122</v>
      </c>
      <c r="E57" s="19" t="s">
        <v>123</v>
      </c>
      <c r="F57" s="19" t="s">
        <v>124</v>
      </c>
      <c r="G57" s="74" t="s">
        <v>28</v>
      </c>
      <c r="H57" s="60"/>
      <c r="I57" s="33"/>
      <c r="J57" s="33"/>
      <c r="K57" s="34"/>
    </row>
    <row r="58" spans="2:11" x14ac:dyDescent="0.3">
      <c r="B58" s="8"/>
      <c r="C58" s="44"/>
      <c r="D58" s="45" t="s">
        <v>125</v>
      </c>
      <c r="E58" s="46" t="s">
        <v>126</v>
      </c>
      <c r="F58" s="46" t="s">
        <v>127</v>
      </c>
      <c r="G58" s="74" t="s">
        <v>28</v>
      </c>
      <c r="H58" s="60"/>
      <c r="I58" s="33"/>
      <c r="J58" s="33"/>
      <c r="K58" s="34"/>
    </row>
    <row r="59" spans="2:11" ht="15" thickBot="1" x14ac:dyDescent="0.35">
      <c r="B59" s="8"/>
      <c r="C59" s="44"/>
      <c r="D59" s="69" t="s">
        <v>128</v>
      </c>
      <c r="E59" s="70" t="s">
        <v>129</v>
      </c>
      <c r="F59" s="70" t="s">
        <v>130</v>
      </c>
      <c r="G59" s="75" t="s">
        <v>33</v>
      </c>
      <c r="H59" s="60"/>
      <c r="I59" s="33"/>
      <c r="J59" s="33"/>
      <c r="K59" s="34"/>
    </row>
    <row r="60" spans="2:11" ht="15" thickBot="1" x14ac:dyDescent="0.35">
      <c r="B60" s="8"/>
      <c r="C60" s="44"/>
      <c r="D60" s="76"/>
      <c r="E60" s="77"/>
      <c r="F60" s="77"/>
      <c r="G60" s="78"/>
      <c r="H60" s="60"/>
      <c r="I60" s="33"/>
      <c r="J60" s="33"/>
      <c r="K60" s="34"/>
    </row>
    <row r="61" spans="2:11" x14ac:dyDescent="0.3">
      <c r="B61" s="8" t="s">
        <v>6</v>
      </c>
      <c r="C61" s="39" t="s">
        <v>131</v>
      </c>
      <c r="D61" s="40" t="s">
        <v>132</v>
      </c>
      <c r="E61" s="41" t="s">
        <v>133</v>
      </c>
      <c r="F61" s="41" t="s">
        <v>134</v>
      </c>
      <c r="G61" s="79" t="s">
        <v>28</v>
      </c>
      <c r="H61" s="60"/>
      <c r="I61" s="33"/>
      <c r="J61" s="33"/>
      <c r="K61" s="34"/>
    </row>
    <row r="62" spans="2:11" x14ac:dyDescent="0.3">
      <c r="C62" s="44"/>
      <c r="D62" s="18" t="s">
        <v>135</v>
      </c>
      <c r="E62" s="19" t="s">
        <v>136</v>
      </c>
      <c r="F62" s="19" t="s">
        <v>137</v>
      </c>
      <c r="G62" s="80" t="s">
        <v>33</v>
      </c>
      <c r="H62" s="60"/>
      <c r="I62" s="33"/>
      <c r="J62" s="33"/>
      <c r="K62" s="34"/>
    </row>
    <row r="63" spans="2:11" x14ac:dyDescent="0.3">
      <c r="B63" s="8"/>
      <c r="C63" s="44"/>
      <c r="D63" s="18" t="s">
        <v>138</v>
      </c>
      <c r="E63" s="19" t="s">
        <v>139</v>
      </c>
      <c r="F63" s="19" t="s">
        <v>140</v>
      </c>
      <c r="G63" s="80" t="s">
        <v>33</v>
      </c>
      <c r="H63" s="60"/>
      <c r="I63" s="33"/>
      <c r="J63" s="33"/>
      <c r="K63" s="34"/>
    </row>
    <row r="64" spans="2:11" ht="15" thickBot="1" x14ac:dyDescent="0.35">
      <c r="B64" s="8"/>
      <c r="C64" s="44"/>
      <c r="D64" s="69" t="s">
        <v>141</v>
      </c>
      <c r="E64" s="70" t="s">
        <v>142</v>
      </c>
      <c r="F64" s="70" t="s">
        <v>143</v>
      </c>
      <c r="G64" s="81" t="s">
        <v>28</v>
      </c>
      <c r="H64" s="60"/>
      <c r="I64" s="33"/>
      <c r="J64" s="33"/>
      <c r="K64" s="34"/>
    </row>
    <row r="65" spans="2:11" x14ac:dyDescent="0.3">
      <c r="B65" s="8"/>
      <c r="C65" s="44"/>
      <c r="H65" s="60"/>
      <c r="I65" s="33"/>
      <c r="J65" s="33"/>
      <c r="K65" s="34"/>
    </row>
    <row r="66" spans="2:11" ht="15" thickBot="1" x14ac:dyDescent="0.35">
      <c r="B66" s="8"/>
      <c r="C66" s="44"/>
      <c r="D66" s="82"/>
      <c r="E66" s="83"/>
      <c r="F66" s="83"/>
      <c r="G66" s="84"/>
      <c r="H66" s="60"/>
      <c r="I66" s="33"/>
      <c r="J66" s="33"/>
      <c r="K66" s="34"/>
    </row>
    <row r="67" spans="2:11" x14ac:dyDescent="0.3">
      <c r="B67" s="8" t="s">
        <v>0</v>
      </c>
      <c r="C67" s="39">
        <v>136</v>
      </c>
      <c r="D67" s="40" t="s">
        <v>144</v>
      </c>
      <c r="E67" s="41" t="s">
        <v>145</v>
      </c>
      <c r="F67" s="41" t="s">
        <v>146</v>
      </c>
      <c r="G67" s="42" t="s">
        <v>33</v>
      </c>
      <c r="H67" s="60" t="s">
        <v>147</v>
      </c>
      <c r="I67" s="33" t="s">
        <v>103</v>
      </c>
      <c r="J67" s="33"/>
      <c r="K67" s="34"/>
    </row>
    <row r="68" spans="2:11" x14ac:dyDescent="0.3">
      <c r="B68" s="8"/>
      <c r="C68" s="44"/>
      <c r="D68" s="45" t="s">
        <v>148</v>
      </c>
      <c r="E68" s="46" t="s">
        <v>149</v>
      </c>
      <c r="F68" s="46" t="s">
        <v>150</v>
      </c>
      <c r="G68" s="47" t="s">
        <v>33</v>
      </c>
      <c r="H68" s="60"/>
      <c r="I68" s="33"/>
      <c r="J68" s="33"/>
      <c r="K68" s="34"/>
    </row>
    <row r="69" spans="2:11" x14ac:dyDescent="0.3">
      <c r="B69" s="8"/>
      <c r="C69" s="44"/>
      <c r="D69" s="18" t="s">
        <v>151</v>
      </c>
      <c r="E69" s="19" t="s">
        <v>152</v>
      </c>
      <c r="F69" s="19" t="s">
        <v>153</v>
      </c>
      <c r="G69" s="20" t="s">
        <v>33</v>
      </c>
      <c r="H69" s="60"/>
      <c r="I69" s="33"/>
      <c r="J69" s="33"/>
      <c r="K69" s="34"/>
    </row>
    <row r="70" spans="2:11" x14ac:dyDescent="0.3">
      <c r="B70" s="8"/>
      <c r="C70" s="44"/>
      <c r="D70" s="18" t="s">
        <v>154</v>
      </c>
      <c r="E70" s="19" t="s">
        <v>155</v>
      </c>
      <c r="F70" s="19" t="s">
        <v>156</v>
      </c>
      <c r="G70" s="20" t="s">
        <v>28</v>
      </c>
      <c r="H70" s="60"/>
      <c r="I70" s="33"/>
      <c r="J70" s="33"/>
      <c r="K70" s="34"/>
    </row>
    <row r="71" spans="2:11" x14ac:dyDescent="0.3">
      <c r="B71" s="8"/>
      <c r="C71" s="44"/>
      <c r="D71" s="45" t="s">
        <v>157</v>
      </c>
      <c r="E71" s="46" t="s">
        <v>158</v>
      </c>
      <c r="F71" s="46" t="s">
        <v>159</v>
      </c>
      <c r="G71" s="47" t="s">
        <v>28</v>
      </c>
      <c r="H71" s="60"/>
      <c r="I71" s="33"/>
      <c r="J71" s="33"/>
      <c r="K71" s="34"/>
    </row>
    <row r="72" spans="2:11" ht="15" thickBot="1" x14ac:dyDescent="0.35">
      <c r="B72" s="8"/>
      <c r="C72" s="58"/>
      <c r="D72" s="31"/>
      <c r="H72" s="72"/>
      <c r="I72" s="33"/>
      <c r="J72" s="33"/>
      <c r="K72" s="34"/>
    </row>
    <row r="73" spans="2:11" x14ac:dyDescent="0.3">
      <c r="B73" s="57" t="s">
        <v>8</v>
      </c>
      <c r="C73" s="39">
        <v>158</v>
      </c>
      <c r="D73" s="11" t="s">
        <v>160</v>
      </c>
      <c r="E73" s="12" t="s">
        <v>161</v>
      </c>
      <c r="F73" s="12" t="s">
        <v>162</v>
      </c>
      <c r="G73" s="13" t="s">
        <v>33</v>
      </c>
      <c r="H73" s="85" t="s">
        <v>163</v>
      </c>
      <c r="I73" s="33" t="s">
        <v>164</v>
      </c>
      <c r="J73" s="33"/>
      <c r="K73" s="34"/>
    </row>
    <row r="74" spans="2:11" x14ac:dyDescent="0.3">
      <c r="B74" s="8"/>
      <c r="C74" s="44"/>
      <c r="D74" s="45" t="s">
        <v>165</v>
      </c>
      <c r="E74" s="46" t="s">
        <v>166</v>
      </c>
      <c r="F74" s="46" t="s">
        <v>167</v>
      </c>
      <c r="G74" s="47" t="s">
        <v>33</v>
      </c>
      <c r="H74" s="85"/>
      <c r="I74" s="33"/>
      <c r="J74" s="33"/>
      <c r="K74" s="34"/>
    </row>
    <row r="75" spans="2:11" x14ac:dyDescent="0.3">
      <c r="B75" s="8"/>
      <c r="C75" s="44"/>
      <c r="D75" s="18" t="s">
        <v>168</v>
      </c>
      <c r="E75" s="19" t="s">
        <v>169</v>
      </c>
      <c r="F75" s="19" t="s">
        <v>170</v>
      </c>
      <c r="G75" s="20" t="s">
        <v>28</v>
      </c>
      <c r="H75" s="85"/>
      <c r="I75" s="33"/>
      <c r="J75" s="33"/>
      <c r="K75" s="34"/>
    </row>
    <row r="76" spans="2:11" x14ac:dyDescent="0.3">
      <c r="B76" s="8"/>
      <c r="C76" s="44"/>
      <c r="D76" s="45" t="s">
        <v>171</v>
      </c>
      <c r="E76" s="46" t="s">
        <v>172</v>
      </c>
      <c r="F76" s="46" t="s">
        <v>173</v>
      </c>
      <c r="G76" s="47" t="s">
        <v>28</v>
      </c>
      <c r="H76" s="85"/>
      <c r="I76" s="33"/>
      <c r="J76" s="33"/>
      <c r="K76" s="34"/>
    </row>
    <row r="77" spans="2:11" ht="15" thickBot="1" x14ac:dyDescent="0.35">
      <c r="B77" s="8"/>
      <c r="C77" s="44"/>
      <c r="D77" s="69" t="s">
        <v>174</v>
      </c>
      <c r="E77" s="70" t="s">
        <v>175</v>
      </c>
      <c r="F77" s="70" t="s">
        <v>176</v>
      </c>
      <c r="G77" s="71" t="s">
        <v>28</v>
      </c>
      <c r="H77" s="85"/>
      <c r="I77" s="33"/>
      <c r="J77" s="33"/>
      <c r="K77" s="34"/>
    </row>
    <row r="78" spans="2:11" x14ac:dyDescent="0.3">
      <c r="B78" s="8"/>
      <c r="C78" s="44"/>
      <c r="H78" s="85"/>
      <c r="I78" s="33"/>
      <c r="J78" s="33"/>
      <c r="K78" s="34"/>
    </row>
    <row r="79" spans="2:11" ht="15" thickBot="1" x14ac:dyDescent="0.35">
      <c r="B79" s="8"/>
      <c r="C79" s="44"/>
      <c r="H79" s="85"/>
      <c r="I79" s="33"/>
      <c r="J79" s="33"/>
      <c r="K79" s="34"/>
    </row>
    <row r="80" spans="2:11" x14ac:dyDescent="0.3">
      <c r="B80" s="8" t="s">
        <v>0</v>
      </c>
      <c r="C80" s="39">
        <v>160</v>
      </c>
      <c r="D80" s="40" t="s">
        <v>177</v>
      </c>
      <c r="E80" s="41" t="s">
        <v>178</v>
      </c>
      <c r="F80" s="41" t="s">
        <v>179</v>
      </c>
      <c r="G80" s="42" t="s">
        <v>28</v>
      </c>
      <c r="H80" s="85" t="s">
        <v>180</v>
      </c>
      <c r="I80" s="33" t="s">
        <v>181</v>
      </c>
      <c r="J80" s="33"/>
      <c r="K80" s="34"/>
    </row>
    <row r="81" spans="2:11" x14ac:dyDescent="0.3">
      <c r="B81" s="8"/>
      <c r="C81" s="44"/>
      <c r="D81" s="45" t="s">
        <v>182</v>
      </c>
      <c r="E81" s="46" t="s">
        <v>183</v>
      </c>
      <c r="F81" s="46" t="s">
        <v>184</v>
      </c>
      <c r="G81" s="47" t="s">
        <v>28</v>
      </c>
      <c r="H81" s="85"/>
      <c r="I81" s="33"/>
      <c r="J81" s="33"/>
      <c r="K81" s="34"/>
    </row>
    <row r="82" spans="2:11" x14ac:dyDescent="0.3">
      <c r="B82" s="8"/>
      <c r="C82" s="44"/>
      <c r="D82" s="45" t="s">
        <v>185</v>
      </c>
      <c r="E82" s="46" t="s">
        <v>186</v>
      </c>
      <c r="F82" s="46" t="s">
        <v>187</v>
      </c>
      <c r="G82" s="47" t="s">
        <v>28</v>
      </c>
      <c r="H82" s="85"/>
      <c r="I82" s="33"/>
      <c r="J82" s="33"/>
      <c r="K82" s="34"/>
    </row>
    <row r="83" spans="2:11" x14ac:dyDescent="0.3">
      <c r="B83" s="8"/>
      <c r="C83" s="44"/>
      <c r="D83" s="18" t="s">
        <v>188</v>
      </c>
      <c r="E83" s="19" t="s">
        <v>189</v>
      </c>
      <c r="F83" s="19" t="s">
        <v>190</v>
      </c>
      <c r="G83" s="20" t="s">
        <v>28</v>
      </c>
      <c r="H83" s="85"/>
      <c r="I83" s="33"/>
      <c r="J83" s="33"/>
      <c r="K83" s="34"/>
    </row>
    <row r="84" spans="2:11" ht="15" thickBot="1" x14ac:dyDescent="0.35">
      <c r="B84" s="8"/>
      <c r="C84" s="44"/>
      <c r="D84" s="69" t="s">
        <v>191</v>
      </c>
      <c r="E84" s="70" t="s">
        <v>192</v>
      </c>
      <c r="F84" s="70" t="s">
        <v>193</v>
      </c>
      <c r="G84" s="71" t="s">
        <v>33</v>
      </c>
      <c r="H84" s="85"/>
      <c r="I84" s="33"/>
      <c r="J84" s="33"/>
      <c r="K84" s="34"/>
    </row>
    <row r="85" spans="2:11" ht="15" thickBot="1" x14ac:dyDescent="0.35">
      <c r="B85" s="8"/>
      <c r="C85" s="44"/>
      <c r="D85" s="86"/>
      <c r="E85" s="86"/>
      <c r="F85" s="86"/>
      <c r="G85" s="86"/>
      <c r="H85" s="85"/>
      <c r="I85" s="33"/>
      <c r="J85" s="33"/>
      <c r="K85" s="34"/>
    </row>
    <row r="86" spans="2:11" x14ac:dyDescent="0.3">
      <c r="B86" s="8" t="s">
        <v>194</v>
      </c>
      <c r="C86" s="39">
        <v>165</v>
      </c>
      <c r="D86" s="11" t="s">
        <v>195</v>
      </c>
      <c r="E86" s="12" t="s">
        <v>196</v>
      </c>
      <c r="F86" s="12" t="s">
        <v>197</v>
      </c>
      <c r="G86" s="13" t="s">
        <v>28</v>
      </c>
      <c r="H86" s="60" t="s">
        <v>198</v>
      </c>
      <c r="I86" s="87" t="s">
        <v>76</v>
      </c>
      <c r="J86" s="33"/>
      <c r="K86" s="34"/>
    </row>
    <row r="87" spans="2:11" x14ac:dyDescent="0.3">
      <c r="B87" s="8"/>
      <c r="C87" s="44"/>
      <c r="D87" s="45" t="s">
        <v>199</v>
      </c>
      <c r="E87" s="46" t="s">
        <v>200</v>
      </c>
      <c r="F87" s="46" t="s">
        <v>201</v>
      </c>
      <c r="G87" s="47" t="s">
        <v>28</v>
      </c>
      <c r="H87" s="60"/>
      <c r="I87" s="87"/>
      <c r="J87" s="33"/>
      <c r="K87" s="34"/>
    </row>
    <row r="88" spans="2:11" ht="15" thickBot="1" x14ac:dyDescent="0.35">
      <c r="B88" s="8"/>
      <c r="C88" s="44"/>
      <c r="D88" s="24" t="s">
        <v>202</v>
      </c>
      <c r="E88" s="25" t="s">
        <v>203</v>
      </c>
      <c r="F88" s="25" t="s">
        <v>204</v>
      </c>
      <c r="G88" s="26" t="s">
        <v>28</v>
      </c>
      <c r="H88" s="60"/>
      <c r="I88" s="87"/>
      <c r="J88" s="33"/>
      <c r="K88" s="34"/>
    </row>
    <row r="89" spans="2:11" x14ac:dyDescent="0.3">
      <c r="B89" s="8"/>
      <c r="C89" s="44"/>
      <c r="D89" s="88"/>
      <c r="E89" s="22"/>
      <c r="F89" s="22"/>
      <c r="G89" s="23"/>
      <c r="H89" s="60"/>
      <c r="I89" s="87"/>
      <c r="J89" s="33"/>
      <c r="K89" s="34"/>
    </row>
    <row r="90" spans="2:11" x14ac:dyDescent="0.3">
      <c r="B90" s="8"/>
      <c r="C90" s="44"/>
      <c r="D90" s="89"/>
      <c r="E90" s="33"/>
      <c r="F90" s="33"/>
      <c r="G90" s="34"/>
      <c r="H90" s="60"/>
      <c r="I90" s="87"/>
      <c r="J90" s="33"/>
      <c r="K90" s="34"/>
    </row>
    <row r="91" spans="2:11" ht="15" thickBot="1" x14ac:dyDescent="0.35">
      <c r="B91" s="8"/>
      <c r="C91" s="67">
        <v>168</v>
      </c>
      <c r="D91" s="82" t="s">
        <v>205</v>
      </c>
      <c r="E91" s="83"/>
      <c r="F91" s="83"/>
      <c r="G91" s="84"/>
      <c r="H91" s="85" t="s">
        <v>206</v>
      </c>
      <c r="I91" s="87" t="s">
        <v>207</v>
      </c>
      <c r="J91" s="33"/>
      <c r="K91" s="34"/>
    </row>
    <row r="92" spans="2:11" ht="15" thickBot="1" x14ac:dyDescent="0.35">
      <c r="B92" s="8"/>
      <c r="C92" s="58"/>
      <c r="D92" s="31"/>
      <c r="H92" s="90"/>
      <c r="I92" s="87"/>
      <c r="J92" s="33"/>
      <c r="K92" s="34"/>
    </row>
    <row r="93" spans="2:11" x14ac:dyDescent="0.3">
      <c r="B93" s="8" t="s">
        <v>10</v>
      </c>
      <c r="C93" s="39">
        <v>175</v>
      </c>
      <c r="D93" s="40" t="s">
        <v>208</v>
      </c>
      <c r="E93" s="41" t="s">
        <v>209</v>
      </c>
      <c r="F93" s="41" t="s">
        <v>210</v>
      </c>
      <c r="G93" s="42" t="s">
        <v>28</v>
      </c>
      <c r="H93" s="91" t="s">
        <v>211</v>
      </c>
      <c r="I93" s="92" t="s">
        <v>212</v>
      </c>
      <c r="J93" s="92" t="s">
        <v>213</v>
      </c>
      <c r="K93" s="34"/>
    </row>
    <row r="94" spans="2:11" x14ac:dyDescent="0.3">
      <c r="B94" s="8"/>
      <c r="C94" s="44"/>
      <c r="D94" s="45" t="s">
        <v>214</v>
      </c>
      <c r="E94" s="46" t="s">
        <v>215</v>
      </c>
      <c r="F94" s="46" t="s">
        <v>216</v>
      </c>
      <c r="G94" s="47" t="s">
        <v>33</v>
      </c>
      <c r="H94" s="91"/>
      <c r="I94" s="92"/>
      <c r="J94" s="92"/>
      <c r="K94" s="34"/>
    </row>
    <row r="95" spans="2:11" x14ac:dyDescent="0.3">
      <c r="B95" s="8"/>
      <c r="C95" s="44"/>
      <c r="D95" s="45" t="s">
        <v>217</v>
      </c>
      <c r="E95" s="46" t="s">
        <v>218</v>
      </c>
      <c r="F95" s="46" t="s">
        <v>219</v>
      </c>
      <c r="G95" s="47" t="s">
        <v>33</v>
      </c>
      <c r="H95" s="91"/>
      <c r="I95" s="92"/>
      <c r="J95" s="92"/>
      <c r="K95" s="34"/>
    </row>
    <row r="96" spans="2:11" x14ac:dyDescent="0.3">
      <c r="B96" s="8"/>
      <c r="C96" s="44"/>
      <c r="D96" s="45" t="s">
        <v>220</v>
      </c>
      <c r="E96" s="46" t="s">
        <v>221</v>
      </c>
      <c r="F96" s="46" t="s">
        <v>222</v>
      </c>
      <c r="G96" s="47" t="s">
        <v>33</v>
      </c>
      <c r="H96" s="91"/>
      <c r="I96" s="92"/>
      <c r="J96" s="92"/>
      <c r="K96" s="34"/>
    </row>
    <row r="97" spans="2:11" ht="15" thickBot="1" x14ac:dyDescent="0.35">
      <c r="B97" s="8"/>
      <c r="C97" s="44"/>
      <c r="D97" s="24" t="s">
        <v>223</v>
      </c>
      <c r="E97" s="25" t="s">
        <v>224</v>
      </c>
      <c r="F97" s="25" t="s">
        <v>225</v>
      </c>
      <c r="G97" s="26" t="s">
        <v>33</v>
      </c>
      <c r="H97" s="91"/>
      <c r="I97" s="92"/>
      <c r="J97" s="92"/>
      <c r="K97" s="34"/>
    </row>
    <row r="98" spans="2:11" ht="15" thickBot="1" x14ac:dyDescent="0.35">
      <c r="B98" s="8"/>
      <c r="C98" s="44"/>
      <c r="D98" s="93"/>
      <c r="E98" s="93"/>
      <c r="F98" s="93"/>
      <c r="G98" s="93"/>
      <c r="H98" s="91"/>
      <c r="I98" s="92"/>
      <c r="J98" s="92"/>
      <c r="K98" s="34"/>
    </row>
    <row r="99" spans="2:11" ht="15" thickBot="1" x14ac:dyDescent="0.35">
      <c r="B99" s="8"/>
      <c r="C99" s="94">
        <v>182</v>
      </c>
      <c r="D99" s="95"/>
      <c r="E99" s="95"/>
      <c r="F99" s="95"/>
      <c r="G99" s="95"/>
      <c r="H99" s="96" t="s">
        <v>226</v>
      </c>
      <c r="I99" s="92" t="s">
        <v>227</v>
      </c>
      <c r="J99" s="92" t="s">
        <v>228</v>
      </c>
      <c r="K99" s="34"/>
    </row>
    <row r="100" spans="2:11" ht="15" thickBot="1" x14ac:dyDescent="0.35">
      <c r="B100" s="8"/>
      <c r="C100" s="58"/>
      <c r="D100" s="97"/>
      <c r="E100" s="97"/>
      <c r="F100" s="97"/>
      <c r="G100" s="97"/>
      <c r="H100" s="96"/>
      <c r="I100" s="92"/>
      <c r="J100" s="92"/>
      <c r="K100" s="34"/>
    </row>
    <row r="101" spans="2:11" x14ac:dyDescent="0.3">
      <c r="B101" s="8"/>
      <c r="C101" s="94">
        <v>191</v>
      </c>
      <c r="D101" s="31"/>
      <c r="H101" s="96" t="s">
        <v>229</v>
      </c>
      <c r="I101" s="92" t="s">
        <v>230</v>
      </c>
      <c r="J101" s="87" t="s">
        <v>231</v>
      </c>
      <c r="K101" s="34"/>
    </row>
    <row r="102" spans="2:11" ht="15" thickBot="1" x14ac:dyDescent="0.35">
      <c r="B102" s="8"/>
      <c r="C102" s="58"/>
      <c r="D102" s="31"/>
      <c r="H102" s="96"/>
      <c r="I102" s="92"/>
      <c r="J102" s="87"/>
      <c r="K102" s="34"/>
    </row>
    <row r="103" spans="2:11" x14ac:dyDescent="0.3">
      <c r="B103" s="8" t="s">
        <v>6</v>
      </c>
      <c r="C103" s="39">
        <v>197</v>
      </c>
      <c r="D103" s="40" t="s">
        <v>232</v>
      </c>
      <c r="E103" s="41" t="s">
        <v>233</v>
      </c>
      <c r="F103" s="41" t="s">
        <v>116</v>
      </c>
      <c r="G103" s="42" t="s">
        <v>33</v>
      </c>
      <c r="H103" s="91" t="s">
        <v>234</v>
      </c>
      <c r="I103" s="33" t="s">
        <v>235</v>
      </c>
      <c r="J103" s="33" t="s">
        <v>235</v>
      </c>
      <c r="K103" s="34"/>
    </row>
    <row r="104" spans="2:11" x14ac:dyDescent="0.3">
      <c r="B104" s="8"/>
      <c r="C104" s="44"/>
      <c r="D104" s="18" t="s">
        <v>236</v>
      </c>
      <c r="E104" s="19" t="s">
        <v>237</v>
      </c>
      <c r="F104" s="19" t="s">
        <v>238</v>
      </c>
      <c r="G104" s="20" t="s">
        <v>33</v>
      </c>
      <c r="H104" s="91"/>
      <c r="I104" s="33"/>
      <c r="J104" s="33"/>
      <c r="K104" s="34"/>
    </row>
    <row r="105" spans="2:11" x14ac:dyDescent="0.3">
      <c r="B105" s="8"/>
      <c r="C105" s="44"/>
      <c r="D105" s="18" t="s">
        <v>239</v>
      </c>
      <c r="E105" s="19" t="s">
        <v>240</v>
      </c>
      <c r="F105" s="19" t="s">
        <v>241</v>
      </c>
      <c r="G105" s="20" t="s">
        <v>33</v>
      </c>
      <c r="H105" s="91"/>
      <c r="I105" s="33"/>
      <c r="J105" s="33"/>
      <c r="K105" s="34"/>
    </row>
    <row r="106" spans="2:11" x14ac:dyDescent="0.3">
      <c r="B106" s="8"/>
      <c r="C106" s="44"/>
      <c r="D106" s="45" t="s">
        <v>242</v>
      </c>
      <c r="E106" s="46" t="s">
        <v>243</v>
      </c>
      <c r="F106" s="46" t="s">
        <v>244</v>
      </c>
      <c r="G106" s="47" t="s">
        <v>245</v>
      </c>
      <c r="H106" s="91"/>
      <c r="I106" s="33"/>
      <c r="J106" s="33"/>
      <c r="K106" s="34"/>
    </row>
    <row r="107" spans="2:11" ht="15" thickBot="1" x14ac:dyDescent="0.35">
      <c r="B107" s="8"/>
      <c r="C107" s="44"/>
      <c r="D107" s="69" t="s">
        <v>246</v>
      </c>
      <c r="E107" s="70" t="s">
        <v>247</v>
      </c>
      <c r="F107" s="70" t="s">
        <v>248</v>
      </c>
      <c r="G107" s="71" t="s">
        <v>33</v>
      </c>
      <c r="H107" s="91"/>
      <c r="I107" s="33"/>
      <c r="J107" s="33"/>
      <c r="K107" s="34"/>
    </row>
    <row r="108" spans="2:11" ht="15" thickBot="1" x14ac:dyDescent="0.35">
      <c r="B108" s="8"/>
      <c r="C108" s="98"/>
      <c r="D108" s="31"/>
      <c r="H108" s="91"/>
      <c r="I108" s="33"/>
      <c r="J108" s="33"/>
      <c r="K108" s="34"/>
    </row>
    <row r="109" spans="2:11" x14ac:dyDescent="0.3">
      <c r="B109" s="57" t="s">
        <v>6</v>
      </c>
      <c r="C109" s="10" t="s">
        <v>249</v>
      </c>
      <c r="D109" s="11" t="s">
        <v>250</v>
      </c>
      <c r="E109" s="12" t="s">
        <v>251</v>
      </c>
      <c r="F109" s="12" t="s">
        <v>252</v>
      </c>
      <c r="G109" s="99" t="s">
        <v>33</v>
      </c>
      <c r="H109" s="85" t="s">
        <v>253</v>
      </c>
      <c r="I109" s="87" t="s">
        <v>254</v>
      </c>
      <c r="J109" s="33"/>
      <c r="K109" s="34"/>
    </row>
    <row r="110" spans="2:11" x14ac:dyDescent="0.3">
      <c r="B110" s="100"/>
      <c r="C110" s="39"/>
      <c r="D110" s="45" t="s">
        <v>255</v>
      </c>
      <c r="E110" s="46" t="s">
        <v>256</v>
      </c>
      <c r="F110" s="46" t="s">
        <v>257</v>
      </c>
      <c r="G110" s="50" t="s">
        <v>33</v>
      </c>
      <c r="H110" s="85"/>
      <c r="I110" s="87"/>
      <c r="J110" s="33"/>
      <c r="K110" s="34"/>
    </row>
    <row r="111" spans="2:11" x14ac:dyDescent="0.3">
      <c r="B111" s="100"/>
      <c r="C111" s="39"/>
      <c r="D111" s="45" t="s">
        <v>258</v>
      </c>
      <c r="E111" s="46" t="s">
        <v>105</v>
      </c>
      <c r="F111" s="46" t="s">
        <v>259</v>
      </c>
      <c r="G111" s="50" t="s">
        <v>33</v>
      </c>
      <c r="H111" s="85"/>
      <c r="I111" s="87"/>
      <c r="J111" s="33"/>
      <c r="K111" s="34"/>
    </row>
    <row r="112" spans="2:11" x14ac:dyDescent="0.3">
      <c r="B112" s="8"/>
      <c r="C112" s="39"/>
      <c r="D112" s="45" t="s">
        <v>260</v>
      </c>
      <c r="E112" s="46" t="s">
        <v>261</v>
      </c>
      <c r="F112" s="46" t="s">
        <v>262</v>
      </c>
      <c r="G112" s="50" t="s">
        <v>28</v>
      </c>
      <c r="H112" s="85"/>
      <c r="I112" s="87"/>
      <c r="J112" s="33"/>
      <c r="K112" s="34"/>
    </row>
    <row r="113" spans="2:11" ht="15" thickBot="1" x14ac:dyDescent="0.35">
      <c r="B113" s="8"/>
      <c r="C113" s="101"/>
      <c r="D113" s="24" t="s">
        <v>263</v>
      </c>
      <c r="E113" s="25" t="s">
        <v>264</v>
      </c>
      <c r="F113" s="25" t="s">
        <v>265</v>
      </c>
      <c r="G113" s="53" t="s">
        <v>28</v>
      </c>
      <c r="H113" s="85"/>
      <c r="I113" s="87"/>
      <c r="J113" s="33"/>
      <c r="K113" s="34"/>
    </row>
    <row r="114" spans="2:11" ht="15" thickBot="1" x14ac:dyDescent="0.35">
      <c r="B114" s="8"/>
      <c r="C114" s="102"/>
      <c r="D114" s="103"/>
      <c r="E114" s="104"/>
      <c r="F114" s="104"/>
      <c r="G114" s="78"/>
      <c r="H114" s="85"/>
      <c r="I114" s="87"/>
      <c r="J114" s="33"/>
      <c r="K114" s="34"/>
    </row>
    <row r="115" spans="2:11" x14ac:dyDescent="0.3">
      <c r="B115" s="57" t="s">
        <v>6</v>
      </c>
      <c r="C115" s="10" t="s">
        <v>266</v>
      </c>
      <c r="D115" s="11" t="s">
        <v>267</v>
      </c>
      <c r="E115" s="12" t="s">
        <v>268</v>
      </c>
      <c r="F115" s="12" t="s">
        <v>269</v>
      </c>
      <c r="G115" s="99" t="s">
        <v>33</v>
      </c>
      <c r="H115" s="85" t="s">
        <v>270</v>
      </c>
      <c r="I115" s="87"/>
      <c r="J115" s="33"/>
      <c r="K115" s="34"/>
    </row>
    <row r="116" spans="2:11" ht="18.600000000000001" customHeight="1" x14ac:dyDescent="0.3">
      <c r="B116" s="8"/>
      <c r="C116" s="39"/>
      <c r="D116" s="45" t="s">
        <v>271</v>
      </c>
      <c r="E116" s="46" t="s">
        <v>272</v>
      </c>
      <c r="F116" s="46" t="s">
        <v>273</v>
      </c>
      <c r="G116" s="50" t="s">
        <v>33</v>
      </c>
      <c r="H116" s="85"/>
      <c r="I116" s="87"/>
      <c r="J116" s="33"/>
      <c r="K116" s="34"/>
    </row>
    <row r="117" spans="2:11" x14ac:dyDescent="0.3">
      <c r="C117" s="39"/>
      <c r="D117" s="18" t="s">
        <v>274</v>
      </c>
      <c r="E117" s="19" t="s">
        <v>275</v>
      </c>
      <c r="F117" s="19" t="s">
        <v>276</v>
      </c>
      <c r="G117" s="50" t="s">
        <v>28</v>
      </c>
      <c r="I117" s="87"/>
      <c r="J117" s="33"/>
      <c r="K117" s="34"/>
    </row>
    <row r="118" spans="2:11" ht="15" thickBot="1" x14ac:dyDescent="0.35">
      <c r="C118" s="101"/>
      <c r="D118" s="69" t="s">
        <v>277</v>
      </c>
      <c r="E118" s="70" t="s">
        <v>278</v>
      </c>
      <c r="F118" s="70" t="s">
        <v>279</v>
      </c>
      <c r="G118" s="53" t="s">
        <v>28</v>
      </c>
      <c r="H118" s="85"/>
      <c r="I118" s="87"/>
      <c r="J118" s="33"/>
      <c r="K118" s="34"/>
    </row>
    <row r="119" spans="2:11" x14ac:dyDescent="0.3">
      <c r="B119" s="8"/>
      <c r="H119" s="85"/>
      <c r="I119" s="87"/>
      <c r="J119" s="33"/>
      <c r="K119" s="34"/>
    </row>
    <row r="120" spans="2:11" ht="15" thickBot="1" x14ac:dyDescent="0.35">
      <c r="B120" s="8"/>
      <c r="C120" s="44"/>
      <c r="D120" s="68"/>
      <c r="E120" s="68"/>
      <c r="F120" s="68"/>
      <c r="G120" s="68"/>
      <c r="H120" s="85"/>
      <c r="I120" s="87"/>
      <c r="J120" s="33"/>
      <c r="K120" s="34"/>
    </row>
    <row r="121" spans="2:11" x14ac:dyDescent="0.3">
      <c r="B121" s="8"/>
      <c r="C121" s="67">
        <v>202</v>
      </c>
      <c r="D121" s="11"/>
      <c r="E121" s="12"/>
      <c r="F121" s="12"/>
      <c r="G121" s="13"/>
      <c r="H121" s="85" t="s">
        <v>280</v>
      </c>
      <c r="I121" s="87" t="s">
        <v>1</v>
      </c>
      <c r="J121" s="33"/>
      <c r="K121" s="34"/>
    </row>
    <row r="122" spans="2:11" ht="15" thickBot="1" x14ac:dyDescent="0.35">
      <c r="B122" s="8"/>
      <c r="C122" s="105"/>
      <c r="D122" s="69"/>
      <c r="E122" s="70"/>
      <c r="F122" s="70"/>
      <c r="G122" s="71"/>
      <c r="H122" s="85"/>
      <c r="I122" s="87"/>
      <c r="J122" s="33"/>
      <c r="K122" s="34"/>
    </row>
    <row r="123" spans="2:11" ht="15" thickBot="1" x14ac:dyDescent="0.35">
      <c r="B123" s="8"/>
      <c r="C123" s="106"/>
      <c r="D123" s="31"/>
      <c r="H123" s="107"/>
      <c r="I123" s="108"/>
      <c r="J123" s="109"/>
      <c r="K123" s="110"/>
    </row>
    <row r="124" spans="2:11" x14ac:dyDescent="0.3">
      <c r="B124" s="57" t="s">
        <v>8</v>
      </c>
      <c r="C124" s="10">
        <v>203</v>
      </c>
      <c r="D124" s="40" t="s">
        <v>281</v>
      </c>
      <c r="E124" s="41" t="s">
        <v>176</v>
      </c>
      <c r="F124" s="41" t="s">
        <v>282</v>
      </c>
      <c r="G124" s="42" t="s">
        <v>28</v>
      </c>
      <c r="H124" s="111" t="s">
        <v>283</v>
      </c>
      <c r="I124" s="112" t="s">
        <v>284</v>
      </c>
      <c r="J124" s="15"/>
      <c r="K124" s="16"/>
    </row>
    <row r="125" spans="2:11" x14ac:dyDescent="0.3">
      <c r="B125" s="8"/>
      <c r="C125" s="44"/>
      <c r="D125" s="45" t="s">
        <v>285</v>
      </c>
      <c r="E125" s="46" t="s">
        <v>286</v>
      </c>
      <c r="F125" s="46" t="s">
        <v>287</v>
      </c>
      <c r="G125" s="47" t="s">
        <v>33</v>
      </c>
      <c r="H125" s="91"/>
      <c r="I125" s="87"/>
      <c r="J125" s="33"/>
      <c r="K125" s="34"/>
    </row>
    <row r="126" spans="2:11" x14ac:dyDescent="0.3">
      <c r="B126" s="8"/>
      <c r="C126" s="44"/>
      <c r="D126" s="18" t="s">
        <v>288</v>
      </c>
      <c r="E126" s="19" t="s">
        <v>289</v>
      </c>
      <c r="F126" s="19" t="s">
        <v>290</v>
      </c>
      <c r="G126" s="20" t="s">
        <v>28</v>
      </c>
      <c r="H126" s="91"/>
      <c r="I126" s="87"/>
      <c r="J126" s="33"/>
      <c r="K126" s="34"/>
    </row>
    <row r="127" spans="2:11" ht="15" thickBot="1" x14ac:dyDescent="0.35">
      <c r="B127" s="8"/>
      <c r="C127" s="37"/>
      <c r="D127" s="113" t="s">
        <v>291</v>
      </c>
      <c r="E127" s="114" t="s">
        <v>292</v>
      </c>
      <c r="F127" s="52" t="s">
        <v>279</v>
      </c>
      <c r="G127" s="115" t="s">
        <v>28</v>
      </c>
      <c r="H127" s="85"/>
      <c r="I127" s="87"/>
      <c r="J127" s="33"/>
      <c r="K127" s="34"/>
    </row>
    <row r="128" spans="2:11" ht="15" thickBot="1" x14ac:dyDescent="0.35">
      <c r="B128" s="8"/>
      <c r="C128" s="37"/>
      <c r="D128" s="28"/>
      <c r="E128" s="28"/>
      <c r="F128" s="28"/>
      <c r="G128" s="28"/>
      <c r="H128" s="85"/>
      <c r="I128" s="87"/>
      <c r="J128" s="33"/>
      <c r="K128" s="34"/>
    </row>
    <row r="129" spans="2:11" x14ac:dyDescent="0.3">
      <c r="B129" s="8" t="s">
        <v>8</v>
      </c>
      <c r="C129" s="39">
        <v>205</v>
      </c>
      <c r="D129" s="40" t="s">
        <v>293</v>
      </c>
      <c r="E129" s="41" t="s">
        <v>294</v>
      </c>
      <c r="F129" s="41" t="s">
        <v>295</v>
      </c>
      <c r="G129" s="42" t="s">
        <v>33</v>
      </c>
      <c r="H129" s="85" t="s">
        <v>296</v>
      </c>
      <c r="I129" s="87" t="s">
        <v>284</v>
      </c>
      <c r="J129" s="33"/>
      <c r="K129" s="34"/>
    </row>
    <row r="130" spans="2:11" x14ac:dyDescent="0.3">
      <c r="B130" s="8"/>
      <c r="C130" s="44"/>
      <c r="D130" s="18" t="s">
        <v>297</v>
      </c>
      <c r="E130" s="19" t="s">
        <v>298</v>
      </c>
      <c r="F130" s="19" t="s">
        <v>299</v>
      </c>
      <c r="G130" s="20" t="s">
        <v>33</v>
      </c>
      <c r="H130" s="85"/>
      <c r="I130" s="87"/>
      <c r="J130" s="33"/>
      <c r="K130" s="34"/>
    </row>
    <row r="131" spans="2:11" ht="15" thickBot="1" x14ac:dyDescent="0.35">
      <c r="B131" s="8"/>
      <c r="C131" s="44"/>
      <c r="D131" s="113" t="s">
        <v>300</v>
      </c>
      <c r="E131" s="114" t="s">
        <v>298</v>
      </c>
      <c r="F131" s="116" t="s">
        <v>301</v>
      </c>
      <c r="G131" s="53" t="s">
        <v>28</v>
      </c>
      <c r="H131" s="85"/>
      <c r="I131" s="87"/>
      <c r="J131" s="33"/>
      <c r="K131" s="34"/>
    </row>
    <row r="132" spans="2:11" x14ac:dyDescent="0.3">
      <c r="B132" s="8"/>
      <c r="C132" s="44"/>
      <c r="H132" s="85"/>
      <c r="I132" s="87"/>
      <c r="J132" s="33"/>
      <c r="K132" s="34"/>
    </row>
    <row r="133" spans="2:11" ht="15" thickBot="1" x14ac:dyDescent="0.35">
      <c r="B133" s="8"/>
      <c r="C133" s="58"/>
      <c r="D133" s="31"/>
      <c r="H133" s="90"/>
      <c r="I133" s="87"/>
      <c r="J133" s="33"/>
      <c r="K133" s="34"/>
    </row>
    <row r="134" spans="2:11" x14ac:dyDescent="0.3">
      <c r="B134" s="8" t="s">
        <v>8</v>
      </c>
      <c r="C134" s="39">
        <v>206</v>
      </c>
      <c r="D134" s="117" t="s">
        <v>302</v>
      </c>
      <c r="E134" s="12" t="s">
        <v>303</v>
      </c>
      <c r="F134" s="12" t="s">
        <v>304</v>
      </c>
      <c r="G134" s="13" t="s">
        <v>28</v>
      </c>
      <c r="H134" s="85" t="s">
        <v>305</v>
      </c>
      <c r="I134" s="87" t="s">
        <v>284</v>
      </c>
      <c r="J134" s="33"/>
      <c r="K134" s="34"/>
    </row>
    <row r="135" spans="2:11" x14ac:dyDescent="0.3">
      <c r="B135" s="8"/>
      <c r="C135" s="44"/>
      <c r="D135" s="45" t="s">
        <v>306</v>
      </c>
      <c r="E135" s="46" t="s">
        <v>307</v>
      </c>
      <c r="F135" s="46" t="s">
        <v>308</v>
      </c>
      <c r="G135" s="47" t="s">
        <v>33</v>
      </c>
      <c r="H135" s="85"/>
      <c r="I135" s="87"/>
      <c r="J135" s="33"/>
      <c r="K135" s="34"/>
    </row>
    <row r="136" spans="2:11" x14ac:dyDescent="0.3">
      <c r="B136" s="8"/>
      <c r="C136" s="44"/>
      <c r="D136" s="18" t="s">
        <v>309</v>
      </c>
      <c r="E136" s="19" t="s">
        <v>310</v>
      </c>
      <c r="F136" s="19" t="s">
        <v>311</v>
      </c>
      <c r="G136" s="20" t="s">
        <v>33</v>
      </c>
      <c r="H136" s="85"/>
      <c r="I136" s="87"/>
      <c r="J136" s="33"/>
      <c r="K136" s="34"/>
    </row>
    <row r="137" spans="2:11" x14ac:dyDescent="0.3">
      <c r="B137" s="8"/>
      <c r="C137" s="44"/>
      <c r="D137" s="18" t="s">
        <v>312</v>
      </c>
      <c r="E137" s="19" t="s">
        <v>313</v>
      </c>
      <c r="F137" s="19" t="s">
        <v>314</v>
      </c>
      <c r="G137" s="20" t="s">
        <v>33</v>
      </c>
      <c r="H137" s="85"/>
      <c r="I137" s="87"/>
      <c r="J137" s="33"/>
      <c r="K137" s="34"/>
    </row>
    <row r="138" spans="2:11" ht="15" thickBot="1" x14ac:dyDescent="0.35">
      <c r="B138" s="8"/>
      <c r="C138" s="44"/>
      <c r="D138" s="24" t="s">
        <v>315</v>
      </c>
      <c r="E138" s="25" t="s">
        <v>316</v>
      </c>
      <c r="F138" s="25" t="s">
        <v>317</v>
      </c>
      <c r="G138" s="26" t="s">
        <v>33</v>
      </c>
      <c r="H138" s="85"/>
      <c r="I138" s="87"/>
      <c r="J138" s="33"/>
      <c r="K138" s="34"/>
    </row>
    <row r="139" spans="2:11" ht="15" thickBot="1" x14ac:dyDescent="0.35">
      <c r="B139" s="8"/>
      <c r="C139" s="58"/>
      <c r="D139" s="31"/>
      <c r="H139" s="90"/>
      <c r="I139" s="87"/>
      <c r="J139" s="33"/>
      <c r="K139" s="34"/>
    </row>
    <row r="140" spans="2:11" ht="15" thickBot="1" x14ac:dyDescent="0.35">
      <c r="B140" s="8"/>
      <c r="C140" s="118">
        <v>207</v>
      </c>
      <c r="D140" s="119"/>
      <c r="E140" s="120"/>
      <c r="F140" s="120"/>
      <c r="G140" s="99"/>
      <c r="H140" s="121" t="s">
        <v>318</v>
      </c>
      <c r="I140" s="122" t="s">
        <v>284</v>
      </c>
      <c r="J140" s="123"/>
      <c r="K140" s="124"/>
    </row>
    <row r="141" spans="2:11" x14ac:dyDescent="0.3">
      <c r="B141" s="8"/>
      <c r="C141" s="17"/>
      <c r="D141" s="48"/>
      <c r="E141" s="49"/>
      <c r="F141" s="49"/>
      <c r="G141" s="50"/>
      <c r="H141" s="125"/>
      <c r="I141" s="126"/>
      <c r="J141" s="22"/>
      <c r="K141" s="23"/>
    </row>
    <row r="142" spans="2:11" x14ac:dyDescent="0.3">
      <c r="B142" s="8"/>
      <c r="C142" s="44"/>
      <c r="D142" s="48"/>
      <c r="E142" s="49"/>
      <c r="F142" s="49"/>
      <c r="G142" s="50"/>
      <c r="H142" s="85"/>
      <c r="I142" s="87"/>
      <c r="J142" s="33"/>
      <c r="K142" s="34"/>
    </row>
    <row r="143" spans="2:11" ht="15" thickBot="1" x14ac:dyDescent="0.35">
      <c r="B143" s="8"/>
      <c r="C143" s="44"/>
      <c r="D143" s="113"/>
      <c r="E143" s="114"/>
      <c r="F143" s="116"/>
      <c r="G143" s="53"/>
      <c r="H143" s="85"/>
      <c r="I143" s="87"/>
      <c r="J143" s="33"/>
      <c r="K143" s="34"/>
    </row>
    <row r="144" spans="2:11" x14ac:dyDescent="0.3">
      <c r="B144" s="8"/>
      <c r="C144" s="58"/>
      <c r="H144" s="90"/>
      <c r="I144" s="87"/>
      <c r="J144" s="33"/>
      <c r="K144" s="34"/>
    </row>
    <row r="145" spans="2:11" ht="15" thickBot="1" x14ac:dyDescent="0.35">
      <c r="B145" s="8"/>
      <c r="C145" s="58"/>
      <c r="D145" s="31"/>
      <c r="H145" s="90"/>
      <c r="I145" s="87"/>
      <c r="J145" s="33"/>
      <c r="K145" s="34"/>
    </row>
    <row r="146" spans="2:11" x14ac:dyDescent="0.3">
      <c r="B146" s="57" t="s">
        <v>2</v>
      </c>
      <c r="C146" s="39">
        <v>208</v>
      </c>
      <c r="D146" s="11" t="s">
        <v>319</v>
      </c>
      <c r="E146" s="12" t="s">
        <v>320</v>
      </c>
      <c r="F146" s="12" t="s">
        <v>321</v>
      </c>
      <c r="G146" s="13" t="s">
        <v>28</v>
      </c>
      <c r="H146" s="85" t="s">
        <v>322</v>
      </c>
      <c r="I146" s="33"/>
      <c r="J146" s="33" t="s">
        <v>323</v>
      </c>
      <c r="K146" s="34"/>
    </row>
    <row r="147" spans="2:11" x14ac:dyDescent="0.3">
      <c r="B147" s="8"/>
      <c r="C147" s="44"/>
      <c r="D147" s="45" t="s">
        <v>324</v>
      </c>
      <c r="E147" s="46" t="s">
        <v>325</v>
      </c>
      <c r="F147" s="46" t="s">
        <v>326</v>
      </c>
      <c r="G147" s="47" t="s">
        <v>33</v>
      </c>
      <c r="H147" s="85"/>
      <c r="I147" s="33"/>
      <c r="J147" s="33"/>
      <c r="K147" s="34"/>
    </row>
    <row r="148" spans="2:11" x14ac:dyDescent="0.3">
      <c r="B148" s="8"/>
      <c r="C148" s="44"/>
      <c r="D148" s="45" t="s">
        <v>327</v>
      </c>
      <c r="E148" s="46" t="s">
        <v>328</v>
      </c>
      <c r="F148" s="46" t="s">
        <v>329</v>
      </c>
      <c r="G148" s="47" t="s">
        <v>33</v>
      </c>
      <c r="H148" s="85"/>
      <c r="I148" s="33"/>
      <c r="J148" s="33"/>
      <c r="K148" s="34"/>
    </row>
    <row r="149" spans="2:11" x14ac:dyDescent="0.3">
      <c r="B149" s="8"/>
      <c r="C149" s="44"/>
      <c r="D149" s="18" t="s">
        <v>330</v>
      </c>
      <c r="E149" s="19" t="s">
        <v>331</v>
      </c>
      <c r="F149" s="19" t="s">
        <v>332</v>
      </c>
      <c r="G149" s="20" t="s">
        <v>33</v>
      </c>
      <c r="H149" s="85"/>
      <c r="I149" s="33"/>
      <c r="J149" s="33"/>
      <c r="K149" s="34"/>
    </row>
    <row r="150" spans="2:11" x14ac:dyDescent="0.3">
      <c r="B150" s="8"/>
      <c r="C150" s="44"/>
      <c r="D150" s="18" t="s">
        <v>333</v>
      </c>
      <c r="E150" s="19" t="s">
        <v>334</v>
      </c>
      <c r="F150" s="19" t="s">
        <v>335</v>
      </c>
      <c r="G150" s="20" t="s">
        <v>33</v>
      </c>
      <c r="H150" s="85"/>
      <c r="I150" s="33"/>
      <c r="J150" s="33"/>
      <c r="K150" s="34"/>
    </row>
    <row r="151" spans="2:11" ht="15" thickBot="1" x14ac:dyDescent="0.35">
      <c r="B151" s="8"/>
      <c r="C151" s="44"/>
      <c r="D151" s="69" t="s">
        <v>336</v>
      </c>
      <c r="E151" s="70" t="s">
        <v>337</v>
      </c>
      <c r="F151" s="70" t="s">
        <v>338</v>
      </c>
      <c r="G151" s="71" t="s">
        <v>28</v>
      </c>
      <c r="H151" s="85"/>
      <c r="I151" s="33"/>
      <c r="J151" s="33"/>
      <c r="K151" s="34"/>
    </row>
    <row r="152" spans="2:11" ht="15" thickBot="1" x14ac:dyDescent="0.35">
      <c r="B152" s="8"/>
      <c r="C152" s="44"/>
      <c r="D152" s="127"/>
      <c r="E152" s="128"/>
      <c r="F152" s="128"/>
      <c r="G152" s="129"/>
      <c r="H152" s="85"/>
      <c r="I152" s="33"/>
      <c r="J152" s="33"/>
      <c r="K152" s="34"/>
    </row>
    <row r="153" spans="2:11" x14ac:dyDescent="0.3">
      <c r="B153" s="57" t="s">
        <v>2</v>
      </c>
      <c r="C153" s="39">
        <v>209</v>
      </c>
      <c r="D153" s="11" t="s">
        <v>339</v>
      </c>
      <c r="E153" s="12" t="s">
        <v>340</v>
      </c>
      <c r="F153" s="12" t="s">
        <v>341</v>
      </c>
      <c r="G153" s="13" t="s">
        <v>33</v>
      </c>
      <c r="H153" s="85" t="s">
        <v>342</v>
      </c>
      <c r="I153" s="33"/>
      <c r="J153" s="33" t="s">
        <v>323</v>
      </c>
      <c r="K153" s="34"/>
    </row>
    <row r="154" spans="2:11" x14ac:dyDescent="0.3">
      <c r="B154" s="8"/>
      <c r="C154" s="44"/>
      <c r="D154" s="18" t="s">
        <v>343</v>
      </c>
      <c r="E154" s="19" t="s">
        <v>344</v>
      </c>
      <c r="F154" s="19" t="s">
        <v>345</v>
      </c>
      <c r="G154" s="20" t="s">
        <v>28</v>
      </c>
      <c r="H154" s="85"/>
      <c r="I154" s="33"/>
      <c r="J154" s="33"/>
      <c r="K154" s="34"/>
    </row>
    <row r="155" spans="2:11" x14ac:dyDescent="0.3">
      <c r="B155" s="8"/>
      <c r="C155" s="44"/>
      <c r="D155" s="18" t="s">
        <v>346</v>
      </c>
      <c r="E155" s="19" t="s">
        <v>347</v>
      </c>
      <c r="F155" s="19" t="s">
        <v>348</v>
      </c>
      <c r="G155" s="20" t="s">
        <v>33</v>
      </c>
      <c r="H155" s="85"/>
      <c r="I155" s="33"/>
      <c r="J155" s="33"/>
      <c r="K155" s="34"/>
    </row>
    <row r="156" spans="2:11" x14ac:dyDescent="0.3">
      <c r="B156" s="8"/>
      <c r="C156" s="44"/>
      <c r="D156" s="18" t="s">
        <v>349</v>
      </c>
      <c r="E156" s="19" t="s">
        <v>350</v>
      </c>
      <c r="F156" s="19" t="s">
        <v>351</v>
      </c>
      <c r="G156" s="20" t="s">
        <v>28</v>
      </c>
      <c r="H156" s="85"/>
      <c r="I156" s="33"/>
      <c r="J156" s="33"/>
      <c r="K156" s="34"/>
    </row>
    <row r="157" spans="2:11" ht="15" thickBot="1" x14ac:dyDescent="0.35">
      <c r="B157" s="8"/>
      <c r="C157" s="44"/>
      <c r="D157" s="69" t="s">
        <v>352</v>
      </c>
      <c r="E157" s="70" t="s">
        <v>353</v>
      </c>
      <c r="F157" s="70" t="s">
        <v>354</v>
      </c>
      <c r="G157" s="71" t="s">
        <v>33</v>
      </c>
      <c r="H157" s="85"/>
      <c r="I157" s="33"/>
      <c r="J157" s="33"/>
      <c r="K157" s="34"/>
    </row>
    <row r="158" spans="2:11" x14ac:dyDescent="0.3">
      <c r="B158" s="8"/>
      <c r="C158" s="44"/>
      <c r="D158" s="31"/>
      <c r="H158" s="85"/>
      <c r="I158" s="33"/>
      <c r="J158" s="33"/>
      <c r="K158" s="34"/>
    </row>
    <row r="159" spans="2:11" x14ac:dyDescent="0.3">
      <c r="B159" s="8" t="s">
        <v>0</v>
      </c>
      <c r="C159" s="39">
        <v>210</v>
      </c>
      <c r="D159" s="18" t="s">
        <v>355</v>
      </c>
      <c r="E159" s="19" t="s">
        <v>356</v>
      </c>
      <c r="F159" s="19" t="s">
        <v>357</v>
      </c>
      <c r="G159" s="20" t="s">
        <v>33</v>
      </c>
      <c r="H159" s="85" t="s">
        <v>358</v>
      </c>
      <c r="I159" s="87" t="s">
        <v>1</v>
      </c>
      <c r="J159" s="33"/>
      <c r="K159" s="34"/>
    </row>
    <row r="160" spans="2:11" x14ac:dyDescent="0.3">
      <c r="B160" s="8"/>
      <c r="C160" s="44"/>
      <c r="D160" s="45" t="s">
        <v>359</v>
      </c>
      <c r="E160" s="46" t="s">
        <v>360</v>
      </c>
      <c r="F160" s="46" t="s">
        <v>361</v>
      </c>
      <c r="G160" s="47" t="s">
        <v>33</v>
      </c>
      <c r="H160" s="85"/>
      <c r="I160" s="87"/>
      <c r="J160" s="33"/>
      <c r="K160" s="34"/>
    </row>
    <row r="161" spans="2:11" ht="15" thickBot="1" x14ac:dyDescent="0.35">
      <c r="B161" s="8"/>
      <c r="C161" s="44"/>
      <c r="D161" s="24" t="s">
        <v>362</v>
      </c>
      <c r="E161" s="25" t="s">
        <v>363</v>
      </c>
      <c r="F161" s="25" t="s">
        <v>364</v>
      </c>
      <c r="G161" s="26" t="s">
        <v>28</v>
      </c>
      <c r="H161" s="85"/>
      <c r="I161" s="87"/>
      <c r="J161" s="33"/>
      <c r="K161" s="34"/>
    </row>
    <row r="162" spans="2:11" x14ac:dyDescent="0.3">
      <c r="B162" s="8"/>
      <c r="C162" s="44"/>
      <c r="H162" s="85"/>
      <c r="I162" s="87"/>
      <c r="J162" s="33"/>
      <c r="K162" s="34"/>
    </row>
    <row r="163" spans="2:11" x14ac:dyDescent="0.3">
      <c r="B163" s="8"/>
      <c r="C163" s="44"/>
      <c r="H163" s="85"/>
      <c r="I163" s="87"/>
      <c r="J163" s="33"/>
      <c r="K163" s="34"/>
    </row>
    <row r="164" spans="2:11" ht="15" thickBot="1" x14ac:dyDescent="0.35">
      <c r="B164" s="8"/>
      <c r="C164" s="58"/>
      <c r="D164" s="31"/>
      <c r="H164" s="90"/>
      <c r="I164" s="87"/>
      <c r="J164" s="33"/>
      <c r="K164" s="34"/>
    </row>
    <row r="165" spans="2:11" x14ac:dyDescent="0.3">
      <c r="B165" s="8" t="s">
        <v>4</v>
      </c>
      <c r="C165" s="39">
        <v>212</v>
      </c>
      <c r="D165" s="40" t="s">
        <v>365</v>
      </c>
      <c r="E165" s="41" t="s">
        <v>366</v>
      </c>
      <c r="F165" s="41" t="s">
        <v>367</v>
      </c>
      <c r="G165" s="42" t="s">
        <v>28</v>
      </c>
      <c r="H165" s="85" t="s">
        <v>368</v>
      </c>
      <c r="I165" s="87" t="s">
        <v>164</v>
      </c>
      <c r="J165" s="33" t="s">
        <v>164</v>
      </c>
      <c r="K165" s="34"/>
    </row>
    <row r="166" spans="2:11" ht="18.600000000000001" customHeight="1" x14ac:dyDescent="0.3">
      <c r="B166" s="8"/>
      <c r="C166" s="44"/>
      <c r="D166" s="18" t="s">
        <v>369</v>
      </c>
      <c r="E166" s="19" t="s">
        <v>370</v>
      </c>
      <c r="F166" s="19" t="s">
        <v>371</v>
      </c>
      <c r="G166" s="20" t="s">
        <v>28</v>
      </c>
      <c r="H166" s="85"/>
      <c r="I166" s="87"/>
      <c r="J166" s="33"/>
      <c r="K166" s="34"/>
    </row>
    <row r="167" spans="2:11" x14ac:dyDescent="0.3">
      <c r="B167" s="8"/>
      <c r="C167" s="44"/>
      <c r="D167" s="18" t="s">
        <v>372</v>
      </c>
      <c r="E167" s="19" t="s">
        <v>373</v>
      </c>
      <c r="F167" s="19" t="s">
        <v>374</v>
      </c>
      <c r="G167" s="20" t="s">
        <v>33</v>
      </c>
      <c r="H167" s="85"/>
      <c r="I167" s="87"/>
      <c r="J167" s="33"/>
      <c r="K167" s="34"/>
    </row>
    <row r="168" spans="2:11" x14ac:dyDescent="0.3">
      <c r="B168" s="8"/>
      <c r="C168" s="44"/>
      <c r="D168" s="18" t="s">
        <v>375</v>
      </c>
      <c r="E168" s="19" t="s">
        <v>376</v>
      </c>
      <c r="F168" s="19" t="s">
        <v>377</v>
      </c>
      <c r="G168" s="20" t="s">
        <v>33</v>
      </c>
      <c r="H168" s="85"/>
      <c r="I168" s="87"/>
      <c r="J168" s="33"/>
      <c r="K168" s="34"/>
    </row>
    <row r="169" spans="2:11" ht="15" thickBot="1" x14ac:dyDescent="0.35">
      <c r="B169" s="8"/>
      <c r="C169" s="44"/>
      <c r="D169" s="69"/>
      <c r="E169" s="70"/>
      <c r="F169" s="70"/>
      <c r="G169" s="71"/>
      <c r="H169" s="85"/>
      <c r="I169" s="87"/>
      <c r="J169" s="33"/>
      <c r="K169" s="34"/>
    </row>
    <row r="170" spans="2:11" ht="15" thickBot="1" x14ac:dyDescent="0.35">
      <c r="B170" s="8"/>
      <c r="C170" s="58"/>
      <c r="D170" s="31"/>
      <c r="H170" s="90"/>
      <c r="I170" s="87"/>
      <c r="J170" s="33"/>
      <c r="K170" s="34"/>
    </row>
    <row r="171" spans="2:11" x14ac:dyDescent="0.3">
      <c r="B171" s="57" t="s">
        <v>2</v>
      </c>
      <c r="C171" s="39">
        <v>213</v>
      </c>
      <c r="D171" s="40" t="s">
        <v>63</v>
      </c>
      <c r="E171" s="41" t="s">
        <v>64</v>
      </c>
      <c r="F171" s="41" t="s">
        <v>65</v>
      </c>
      <c r="G171" s="42" t="s">
        <v>28</v>
      </c>
      <c r="H171" s="85" t="s">
        <v>378</v>
      </c>
      <c r="I171" s="87" t="s">
        <v>379</v>
      </c>
      <c r="J171" s="87" t="s">
        <v>380</v>
      </c>
      <c r="K171" s="34"/>
    </row>
    <row r="172" spans="2:11" x14ac:dyDescent="0.3">
      <c r="B172" s="8"/>
      <c r="C172" s="44"/>
      <c r="D172" s="45" t="s">
        <v>381</v>
      </c>
      <c r="E172" s="46" t="s">
        <v>382</v>
      </c>
      <c r="F172" s="46" t="s">
        <v>383</v>
      </c>
      <c r="G172" s="47" t="s">
        <v>28</v>
      </c>
      <c r="H172" s="85"/>
      <c r="I172" s="87"/>
      <c r="J172" s="87"/>
      <c r="K172" s="34"/>
    </row>
    <row r="173" spans="2:11" x14ac:dyDescent="0.3">
      <c r="B173" s="8"/>
      <c r="C173" s="44"/>
      <c r="D173" s="18" t="s">
        <v>384</v>
      </c>
      <c r="E173" s="19" t="s">
        <v>385</v>
      </c>
      <c r="F173" s="19" t="s">
        <v>386</v>
      </c>
      <c r="G173" s="20" t="s">
        <v>28</v>
      </c>
      <c r="H173" s="85"/>
      <c r="I173" s="87"/>
      <c r="J173" s="87"/>
      <c r="K173" s="34"/>
    </row>
    <row r="174" spans="2:11" x14ac:dyDescent="0.3">
      <c r="B174" s="8"/>
      <c r="C174" s="44"/>
      <c r="D174" s="18" t="s">
        <v>387</v>
      </c>
      <c r="E174" s="19" t="s">
        <v>388</v>
      </c>
      <c r="F174" s="19" t="s">
        <v>389</v>
      </c>
      <c r="G174" s="20" t="s">
        <v>33</v>
      </c>
      <c r="H174" s="85"/>
      <c r="I174" s="87"/>
      <c r="J174" s="87"/>
      <c r="K174" s="34"/>
    </row>
    <row r="175" spans="2:11" ht="15" thickBot="1" x14ac:dyDescent="0.35">
      <c r="B175" s="8"/>
      <c r="C175" s="44"/>
      <c r="D175" s="51" t="s">
        <v>390</v>
      </c>
      <c r="E175" s="52" t="s">
        <v>391</v>
      </c>
      <c r="F175" s="52" t="s">
        <v>392</v>
      </c>
      <c r="G175" s="53" t="s">
        <v>33</v>
      </c>
      <c r="H175" s="85"/>
      <c r="I175" s="87"/>
      <c r="J175" s="87"/>
      <c r="K175" s="34"/>
    </row>
    <row r="176" spans="2:11" ht="15" thickBot="1" x14ac:dyDescent="0.35">
      <c r="B176" s="8"/>
      <c r="C176" s="44"/>
      <c r="D176" s="31"/>
      <c r="H176" s="85"/>
      <c r="I176" s="87"/>
      <c r="J176" s="87"/>
      <c r="K176" s="34"/>
    </row>
    <row r="177" spans="2:11" x14ac:dyDescent="0.3">
      <c r="B177" s="8" t="s">
        <v>0</v>
      </c>
      <c r="C177" s="39">
        <v>219</v>
      </c>
      <c r="D177" s="11" t="s">
        <v>393</v>
      </c>
      <c r="E177" s="12" t="s">
        <v>394</v>
      </c>
      <c r="F177" s="12" t="s">
        <v>273</v>
      </c>
      <c r="G177" s="13" t="s">
        <v>33</v>
      </c>
      <c r="H177" s="85" t="s">
        <v>395</v>
      </c>
      <c r="I177" s="33" t="s">
        <v>396</v>
      </c>
      <c r="J177" s="87" t="s">
        <v>397</v>
      </c>
      <c r="K177" s="34"/>
    </row>
    <row r="178" spans="2:11" x14ac:dyDescent="0.3">
      <c r="B178" s="8"/>
      <c r="C178" s="58"/>
      <c r="D178" s="18" t="s">
        <v>398</v>
      </c>
      <c r="E178" s="19" t="s">
        <v>399</v>
      </c>
      <c r="F178" s="19" t="s">
        <v>400</v>
      </c>
      <c r="G178" s="20" t="s">
        <v>33</v>
      </c>
      <c r="H178" s="90"/>
      <c r="I178" s="87"/>
      <c r="J178" s="87"/>
      <c r="K178" s="34"/>
    </row>
    <row r="179" spans="2:11" x14ac:dyDescent="0.3">
      <c r="B179" s="8"/>
      <c r="D179" s="45" t="s">
        <v>401</v>
      </c>
      <c r="E179" s="46" t="s">
        <v>402</v>
      </c>
      <c r="F179" s="46" t="s">
        <v>295</v>
      </c>
      <c r="G179" s="47" t="s">
        <v>33</v>
      </c>
      <c r="K179" s="34"/>
    </row>
    <row r="180" spans="2:11" x14ac:dyDescent="0.3">
      <c r="B180" s="8"/>
      <c r="C180" s="44"/>
      <c r="D180" s="18" t="s">
        <v>403</v>
      </c>
      <c r="E180" s="19" t="s">
        <v>404</v>
      </c>
      <c r="F180" s="19" t="s">
        <v>405</v>
      </c>
      <c r="G180" s="20" t="s">
        <v>33</v>
      </c>
      <c r="H180" s="85"/>
      <c r="I180" s="33"/>
      <c r="J180" s="87"/>
      <c r="K180" s="34"/>
    </row>
    <row r="181" spans="2:11" ht="15" thickBot="1" x14ac:dyDescent="0.35">
      <c r="B181" s="8"/>
      <c r="C181" s="44"/>
      <c r="D181" s="69" t="s">
        <v>406</v>
      </c>
      <c r="E181" s="70" t="s">
        <v>407</v>
      </c>
      <c r="F181" s="70" t="s">
        <v>408</v>
      </c>
      <c r="G181" s="71" t="s">
        <v>33</v>
      </c>
      <c r="H181" s="85"/>
      <c r="I181" s="33"/>
      <c r="J181" s="87"/>
      <c r="K181" s="34"/>
    </row>
    <row r="182" spans="2:11" x14ac:dyDescent="0.3">
      <c r="B182" s="8"/>
      <c r="C182" s="98"/>
      <c r="D182" s="31"/>
      <c r="H182" s="85"/>
      <c r="I182" s="33"/>
      <c r="J182" s="87"/>
      <c r="K182" s="34"/>
    </row>
    <row r="183" spans="2:11" ht="15" thickBot="1" x14ac:dyDescent="0.35">
      <c r="B183" s="8"/>
      <c r="C183" s="44"/>
      <c r="D183" s="24"/>
      <c r="E183" s="25"/>
      <c r="F183" s="25"/>
      <c r="G183" s="26"/>
      <c r="H183" s="85"/>
      <c r="I183" s="33"/>
      <c r="J183" s="87"/>
      <c r="K183" s="34"/>
    </row>
    <row r="184" spans="2:11" x14ac:dyDescent="0.3">
      <c r="B184" s="57" t="s">
        <v>2</v>
      </c>
      <c r="C184" s="10">
        <v>220</v>
      </c>
      <c r="D184" s="11" t="s">
        <v>409</v>
      </c>
      <c r="E184" s="120" t="s">
        <v>410</v>
      </c>
      <c r="F184" s="12" t="s">
        <v>411</v>
      </c>
      <c r="G184" s="13" t="s">
        <v>33</v>
      </c>
      <c r="H184" s="85" t="s">
        <v>412</v>
      </c>
      <c r="I184" s="33"/>
      <c r="J184" s="87"/>
      <c r="K184" s="34"/>
    </row>
    <row r="185" spans="2:11" x14ac:dyDescent="0.3">
      <c r="B185" s="8"/>
      <c r="C185" s="44"/>
      <c r="D185" s="18" t="s">
        <v>413</v>
      </c>
      <c r="E185" s="49" t="s">
        <v>414</v>
      </c>
      <c r="F185" s="19" t="s">
        <v>415</v>
      </c>
      <c r="G185" s="20" t="s">
        <v>28</v>
      </c>
      <c r="I185" s="33"/>
      <c r="J185" s="87"/>
      <c r="K185" s="34"/>
    </row>
    <row r="186" spans="2:11" x14ac:dyDescent="0.3">
      <c r="B186" s="8"/>
      <c r="C186" s="44"/>
      <c r="D186" s="45" t="s">
        <v>416</v>
      </c>
      <c r="E186" s="49" t="s">
        <v>417</v>
      </c>
      <c r="F186" s="46" t="s">
        <v>65</v>
      </c>
      <c r="G186" s="47" t="s">
        <v>28</v>
      </c>
      <c r="H186" s="85"/>
      <c r="I186" s="33"/>
      <c r="J186" s="87"/>
      <c r="K186" s="34"/>
    </row>
    <row r="187" spans="2:11" x14ac:dyDescent="0.3">
      <c r="B187" s="8"/>
      <c r="C187" s="44"/>
      <c r="D187" s="45" t="s">
        <v>418</v>
      </c>
      <c r="E187" s="49" t="s">
        <v>419</v>
      </c>
      <c r="F187" s="46" t="s">
        <v>420</v>
      </c>
      <c r="G187" s="47" t="s">
        <v>28</v>
      </c>
      <c r="H187" s="85"/>
      <c r="I187" s="33"/>
      <c r="J187" s="87"/>
      <c r="K187" s="34"/>
    </row>
    <row r="188" spans="2:11" ht="15" thickBot="1" x14ac:dyDescent="0.35">
      <c r="B188" s="8"/>
      <c r="C188" s="130"/>
      <c r="D188" s="24"/>
      <c r="E188" s="25"/>
      <c r="F188" s="25"/>
      <c r="G188" s="26"/>
      <c r="H188" s="85"/>
      <c r="I188" s="33"/>
      <c r="J188" s="87"/>
      <c r="K188" s="34"/>
    </row>
    <row r="189" spans="2:11" x14ac:dyDescent="0.3">
      <c r="B189" s="8"/>
      <c r="C189" s="17"/>
      <c r="D189" s="31"/>
      <c r="H189" s="85"/>
      <c r="I189" s="33"/>
      <c r="J189" s="87"/>
      <c r="K189" s="34"/>
    </row>
    <row r="190" spans="2:11" ht="15" thickBot="1" x14ac:dyDescent="0.35">
      <c r="B190" s="8"/>
      <c r="C190" s="58"/>
      <c r="H190" s="90"/>
      <c r="I190" s="33"/>
      <c r="J190" s="87"/>
      <c r="K190" s="34"/>
    </row>
    <row r="191" spans="2:11" ht="15" thickBot="1" x14ac:dyDescent="0.35">
      <c r="B191" s="8" t="s">
        <v>10</v>
      </c>
      <c r="C191" s="94">
        <v>221</v>
      </c>
      <c r="D191" s="97"/>
      <c r="E191" s="97"/>
      <c r="F191" s="97"/>
      <c r="G191" s="97"/>
      <c r="H191" s="90" t="s">
        <v>421</v>
      </c>
      <c r="I191" s="87" t="s">
        <v>422</v>
      </c>
      <c r="J191" s="87" t="s">
        <v>422</v>
      </c>
      <c r="K191" s="34"/>
    </row>
    <row r="192" spans="2:11" x14ac:dyDescent="0.3">
      <c r="B192" s="8"/>
      <c r="C192" s="35"/>
      <c r="D192" s="31"/>
      <c r="H192" s="90"/>
      <c r="I192" s="87"/>
      <c r="J192" s="87"/>
      <c r="K192" s="34"/>
    </row>
    <row r="193" spans="2:11" x14ac:dyDescent="0.3">
      <c r="B193" s="8"/>
      <c r="C193" s="35"/>
      <c r="D193" s="31"/>
      <c r="H193" s="90"/>
      <c r="I193" s="87"/>
      <c r="J193" s="87"/>
      <c r="K193" s="34"/>
    </row>
    <row r="194" spans="2:11" ht="15" thickBot="1" x14ac:dyDescent="0.35">
      <c r="B194" s="8"/>
      <c r="C194" s="35"/>
      <c r="D194" s="31"/>
      <c r="H194" s="90"/>
      <c r="I194" s="87"/>
      <c r="J194" s="87"/>
      <c r="K194" s="34"/>
    </row>
    <row r="195" spans="2:11" x14ac:dyDescent="0.3">
      <c r="B195" s="8" t="s">
        <v>10</v>
      </c>
      <c r="C195" s="39">
        <v>222</v>
      </c>
      <c r="D195" s="11" t="s">
        <v>423</v>
      </c>
      <c r="E195" s="12" t="s">
        <v>424</v>
      </c>
      <c r="F195" s="12" t="s">
        <v>425</v>
      </c>
      <c r="G195" s="13" t="s">
        <v>33</v>
      </c>
      <c r="H195" s="85" t="s">
        <v>426</v>
      </c>
      <c r="I195" s="87" t="s">
        <v>422</v>
      </c>
      <c r="J195" s="87" t="s">
        <v>422</v>
      </c>
      <c r="K195" s="34"/>
    </row>
    <row r="196" spans="2:11" x14ac:dyDescent="0.3">
      <c r="B196" s="8"/>
      <c r="C196" s="105"/>
      <c r="D196" s="18" t="s">
        <v>427</v>
      </c>
      <c r="E196" s="19" t="s">
        <v>428</v>
      </c>
      <c r="F196" s="19" t="s">
        <v>429</v>
      </c>
      <c r="G196" s="20" t="s">
        <v>33</v>
      </c>
      <c r="H196" s="85"/>
      <c r="I196" s="87"/>
      <c r="J196" s="87"/>
      <c r="K196" s="34"/>
    </row>
    <row r="197" spans="2:11" ht="15" thickBot="1" x14ac:dyDescent="0.35">
      <c r="B197" s="8"/>
      <c r="C197" s="105"/>
      <c r="D197" s="24" t="s">
        <v>430</v>
      </c>
      <c r="E197" s="25" t="s">
        <v>431</v>
      </c>
      <c r="F197" s="25" t="s">
        <v>432</v>
      </c>
      <c r="G197" s="26" t="s">
        <v>28</v>
      </c>
      <c r="H197" s="85"/>
      <c r="I197" s="87"/>
      <c r="J197" s="87"/>
      <c r="K197" s="34"/>
    </row>
    <row r="198" spans="2:11" x14ac:dyDescent="0.3">
      <c r="B198" s="8"/>
      <c r="C198" s="105"/>
      <c r="D198" s="31"/>
      <c r="H198" s="85"/>
      <c r="I198" s="87"/>
      <c r="J198" s="87"/>
      <c r="K198" s="34"/>
    </row>
    <row r="199" spans="2:11" ht="15" thickBot="1" x14ac:dyDescent="0.35">
      <c r="B199" s="8"/>
      <c r="C199" s="105"/>
      <c r="D199" s="31"/>
      <c r="H199" s="85"/>
      <c r="I199" s="87"/>
      <c r="J199" s="87"/>
      <c r="K199" s="34"/>
    </row>
    <row r="200" spans="2:11" x14ac:dyDescent="0.3">
      <c r="B200" s="8" t="s">
        <v>6</v>
      </c>
      <c r="C200" s="39">
        <v>223</v>
      </c>
      <c r="D200" s="40" t="s">
        <v>433</v>
      </c>
      <c r="E200" s="41" t="s">
        <v>434</v>
      </c>
      <c r="F200" s="41" t="s">
        <v>435</v>
      </c>
      <c r="G200" s="42" t="s">
        <v>33</v>
      </c>
      <c r="H200" s="85" t="s">
        <v>436</v>
      </c>
      <c r="I200" s="87" t="s">
        <v>437</v>
      </c>
      <c r="J200" s="33"/>
      <c r="K200" s="34"/>
    </row>
    <row r="201" spans="2:11" x14ac:dyDescent="0.3">
      <c r="B201" s="8"/>
      <c r="C201" s="44"/>
      <c r="D201" s="45" t="s">
        <v>438</v>
      </c>
      <c r="E201" s="46" t="s">
        <v>439</v>
      </c>
      <c r="F201" s="46" t="s">
        <v>106</v>
      </c>
      <c r="G201" s="47" t="s">
        <v>33</v>
      </c>
      <c r="H201" s="85"/>
      <c r="I201" s="87"/>
      <c r="J201" s="33"/>
      <c r="K201" s="34"/>
    </row>
    <row r="202" spans="2:11" ht="19.8" customHeight="1" x14ac:dyDescent="0.3">
      <c r="B202" s="8"/>
      <c r="C202" s="44"/>
      <c r="D202" s="18" t="s">
        <v>440</v>
      </c>
      <c r="E202" s="19" t="s">
        <v>441</v>
      </c>
      <c r="F202" s="19" t="s">
        <v>442</v>
      </c>
      <c r="G202" s="20" t="s">
        <v>33</v>
      </c>
      <c r="H202" s="85"/>
      <c r="I202" s="87"/>
      <c r="J202" s="33"/>
      <c r="K202" s="34"/>
    </row>
    <row r="203" spans="2:11" ht="19.8" customHeight="1" x14ac:dyDescent="0.3">
      <c r="B203" s="8"/>
      <c r="C203" s="44"/>
      <c r="D203" s="18" t="s">
        <v>443</v>
      </c>
      <c r="E203" s="19" t="s">
        <v>444</v>
      </c>
      <c r="F203" s="19" t="s">
        <v>445</v>
      </c>
      <c r="G203" s="20" t="s">
        <v>33</v>
      </c>
      <c r="H203" s="85"/>
      <c r="I203" s="87"/>
      <c r="J203" s="33"/>
      <c r="K203" s="34"/>
    </row>
    <row r="204" spans="2:11" ht="15" thickBot="1" x14ac:dyDescent="0.35">
      <c r="B204" s="8"/>
      <c r="C204" s="44"/>
      <c r="D204" s="24" t="s">
        <v>446</v>
      </c>
      <c r="E204" s="25" t="s">
        <v>447</v>
      </c>
      <c r="F204" s="25" t="s">
        <v>448</v>
      </c>
      <c r="G204" s="26" t="s">
        <v>33</v>
      </c>
      <c r="H204" s="85"/>
      <c r="I204" s="87"/>
      <c r="J204" s="33"/>
      <c r="K204" s="34"/>
    </row>
    <row r="205" spans="2:11" ht="15" thickBot="1" x14ac:dyDescent="0.35">
      <c r="B205" s="8"/>
      <c r="C205" s="58"/>
      <c r="D205" s="31"/>
      <c r="H205" s="90"/>
      <c r="I205" s="87"/>
      <c r="J205" s="33"/>
      <c r="K205" s="34"/>
    </row>
    <row r="206" spans="2:11" x14ac:dyDescent="0.3">
      <c r="B206" s="57" t="s">
        <v>2</v>
      </c>
      <c r="C206" s="39">
        <v>224</v>
      </c>
      <c r="D206" s="11" t="s">
        <v>449</v>
      </c>
      <c r="E206" s="12" t="s">
        <v>450</v>
      </c>
      <c r="F206" s="12" t="s">
        <v>451</v>
      </c>
      <c r="G206" s="13" t="s">
        <v>28</v>
      </c>
      <c r="H206" s="85" t="s">
        <v>452</v>
      </c>
      <c r="I206" s="87" t="s">
        <v>453</v>
      </c>
      <c r="J206" s="33" t="s">
        <v>454</v>
      </c>
      <c r="K206" s="34"/>
    </row>
    <row r="207" spans="2:11" x14ac:dyDescent="0.3">
      <c r="B207" s="8"/>
      <c r="C207" s="44"/>
      <c r="D207" s="45" t="s">
        <v>455</v>
      </c>
      <c r="E207" s="46" t="s">
        <v>456</v>
      </c>
      <c r="F207" s="46" t="s">
        <v>457</v>
      </c>
      <c r="G207" s="47" t="s">
        <v>28</v>
      </c>
      <c r="H207" s="85"/>
      <c r="I207" s="87"/>
      <c r="J207" s="33"/>
      <c r="K207" s="34"/>
    </row>
    <row r="208" spans="2:11" ht="15" thickBot="1" x14ac:dyDescent="0.35">
      <c r="B208" s="8"/>
      <c r="C208" s="44"/>
      <c r="D208" s="69" t="s">
        <v>458</v>
      </c>
      <c r="E208" s="70" t="s">
        <v>459</v>
      </c>
      <c r="F208" s="70" t="s">
        <v>460</v>
      </c>
      <c r="G208" s="71" t="s">
        <v>28</v>
      </c>
      <c r="H208" s="85"/>
      <c r="I208" s="87"/>
      <c r="J208" s="33"/>
      <c r="K208" s="34"/>
    </row>
    <row r="209" spans="2:11" x14ac:dyDescent="0.3">
      <c r="B209" s="8"/>
      <c r="C209" s="58"/>
      <c r="D209" s="31"/>
      <c r="G209" s="9"/>
      <c r="H209" s="85"/>
      <c r="I209" s="87"/>
      <c r="J209" s="33"/>
      <c r="K209" s="34"/>
    </row>
    <row r="210" spans="2:11" x14ac:dyDescent="0.3">
      <c r="B210" s="8"/>
      <c r="C210" s="94">
        <v>225</v>
      </c>
      <c r="D210" s="31"/>
      <c r="G210" s="9"/>
      <c r="H210" s="60" t="s">
        <v>461</v>
      </c>
      <c r="I210" s="87" t="s">
        <v>453</v>
      </c>
      <c r="J210" s="33" t="s">
        <v>462</v>
      </c>
      <c r="K210" s="34"/>
    </row>
    <row r="211" spans="2:11" ht="15" thickBot="1" x14ac:dyDescent="0.35">
      <c r="B211" s="8"/>
      <c r="C211" s="35"/>
      <c r="D211" s="31"/>
      <c r="G211" s="9"/>
      <c r="H211" s="60"/>
      <c r="I211" s="87"/>
      <c r="J211" s="33"/>
      <c r="K211" s="34"/>
    </row>
    <row r="212" spans="2:11" x14ac:dyDescent="0.3">
      <c r="B212" s="57" t="s">
        <v>2</v>
      </c>
      <c r="C212" s="39">
        <v>226</v>
      </c>
      <c r="D212" s="11" t="s">
        <v>463</v>
      </c>
      <c r="E212" s="12" t="s">
        <v>464</v>
      </c>
      <c r="F212" s="12" t="s">
        <v>367</v>
      </c>
      <c r="G212" s="13" t="s">
        <v>28</v>
      </c>
      <c r="H212" s="60" t="s">
        <v>465</v>
      </c>
      <c r="I212" s="87" t="s">
        <v>453</v>
      </c>
      <c r="J212" s="33" t="s">
        <v>462</v>
      </c>
      <c r="K212" s="34"/>
    </row>
    <row r="213" spans="2:11" x14ac:dyDescent="0.3">
      <c r="B213" s="8"/>
      <c r="C213" s="37"/>
      <c r="D213" s="18" t="s">
        <v>466</v>
      </c>
      <c r="E213" s="19" t="s">
        <v>467</v>
      </c>
      <c r="F213" s="19" t="s">
        <v>468</v>
      </c>
      <c r="G213" s="20" t="s">
        <v>28</v>
      </c>
      <c r="H213" s="60"/>
      <c r="I213" s="87"/>
      <c r="J213" s="33"/>
      <c r="K213" s="34"/>
    </row>
    <row r="214" spans="2:11" x14ac:dyDescent="0.3">
      <c r="B214" s="8"/>
      <c r="C214" s="37"/>
      <c r="D214" s="18" t="s">
        <v>469</v>
      </c>
      <c r="E214" s="19" t="s">
        <v>470</v>
      </c>
      <c r="F214" s="19" t="s">
        <v>311</v>
      </c>
      <c r="G214" s="20" t="s">
        <v>28</v>
      </c>
      <c r="H214" s="60"/>
      <c r="I214" s="87"/>
      <c r="J214" s="33"/>
      <c r="K214" s="34"/>
    </row>
    <row r="215" spans="2:11" ht="15" thickBot="1" x14ac:dyDescent="0.35">
      <c r="B215" s="8"/>
      <c r="C215" s="37"/>
      <c r="D215" s="69" t="s">
        <v>471</v>
      </c>
      <c r="E215" s="70" t="s">
        <v>472</v>
      </c>
      <c r="F215" s="70" t="s">
        <v>434</v>
      </c>
      <c r="G215" s="71" t="s">
        <v>28</v>
      </c>
      <c r="H215" s="60"/>
      <c r="I215" s="87"/>
      <c r="J215" s="33"/>
      <c r="K215" s="34"/>
    </row>
    <row r="216" spans="2:11" x14ac:dyDescent="0.3">
      <c r="B216" s="8"/>
      <c r="C216" s="30"/>
      <c r="D216" s="131"/>
      <c r="E216" s="28"/>
      <c r="F216" s="28"/>
      <c r="G216" s="132"/>
      <c r="H216" s="60"/>
      <c r="I216" s="87"/>
      <c r="J216" s="33"/>
      <c r="K216" s="34"/>
    </row>
    <row r="217" spans="2:11" x14ac:dyDescent="0.3">
      <c r="B217" s="8"/>
      <c r="C217" s="94">
        <v>227</v>
      </c>
      <c r="D217" s="31"/>
      <c r="G217" s="9"/>
      <c r="H217" s="85" t="s">
        <v>473</v>
      </c>
      <c r="I217" s="87" t="s">
        <v>453</v>
      </c>
      <c r="J217" s="33" t="s">
        <v>462</v>
      </c>
      <c r="K217" s="34"/>
    </row>
    <row r="218" spans="2:11" ht="15" thickBot="1" x14ac:dyDescent="0.35">
      <c r="B218" s="8"/>
      <c r="C218" s="37"/>
      <c r="D218" s="31"/>
      <c r="G218" s="9"/>
      <c r="H218" s="85"/>
      <c r="I218" s="87"/>
      <c r="J218" s="33"/>
      <c r="K218" s="34"/>
    </row>
    <row r="219" spans="2:11" x14ac:dyDescent="0.3">
      <c r="B219" s="8" t="s">
        <v>0</v>
      </c>
      <c r="C219" s="39">
        <v>231</v>
      </c>
      <c r="D219" s="11" t="s">
        <v>474</v>
      </c>
      <c r="E219" s="12" t="s">
        <v>475</v>
      </c>
      <c r="F219" s="12" t="s">
        <v>476</v>
      </c>
      <c r="G219" s="13" t="s">
        <v>28</v>
      </c>
      <c r="H219" s="85" t="s">
        <v>477</v>
      </c>
      <c r="I219" s="87" t="s">
        <v>478</v>
      </c>
      <c r="J219" s="33"/>
      <c r="K219" s="34" t="s">
        <v>76</v>
      </c>
    </row>
    <row r="220" spans="2:11" x14ac:dyDescent="0.3">
      <c r="B220" s="8"/>
      <c r="C220" s="44"/>
      <c r="D220" s="45" t="s">
        <v>479</v>
      </c>
      <c r="E220" s="46" t="s">
        <v>480</v>
      </c>
      <c r="F220" s="46" t="s">
        <v>481</v>
      </c>
      <c r="G220" s="47" t="s">
        <v>33</v>
      </c>
      <c r="H220" s="85"/>
      <c r="I220" s="87"/>
      <c r="J220" s="33"/>
      <c r="K220" s="34"/>
    </row>
    <row r="221" spans="2:11" ht="17.399999999999999" customHeight="1" x14ac:dyDescent="0.3">
      <c r="B221" s="8"/>
      <c r="C221" s="44"/>
      <c r="D221" s="18" t="s">
        <v>482</v>
      </c>
      <c r="E221" s="19" t="s">
        <v>483</v>
      </c>
      <c r="F221" s="19" t="s">
        <v>484</v>
      </c>
      <c r="G221" s="20" t="s">
        <v>33</v>
      </c>
      <c r="H221" s="85"/>
      <c r="I221" s="87"/>
      <c r="J221" s="33"/>
      <c r="K221" s="34"/>
    </row>
    <row r="222" spans="2:11" x14ac:dyDescent="0.3">
      <c r="B222" s="8"/>
      <c r="C222" s="44"/>
      <c r="D222" s="18" t="s">
        <v>485</v>
      </c>
      <c r="E222" s="19" t="s">
        <v>331</v>
      </c>
      <c r="F222" s="19" t="s">
        <v>348</v>
      </c>
      <c r="G222" s="20" t="s">
        <v>28</v>
      </c>
      <c r="H222" s="85"/>
      <c r="I222" s="87"/>
      <c r="J222" s="33"/>
      <c r="K222" s="34"/>
    </row>
    <row r="223" spans="2:11" ht="15" thickBot="1" x14ac:dyDescent="0.35">
      <c r="B223" s="8"/>
      <c r="C223" s="44"/>
      <c r="D223" s="24" t="s">
        <v>486</v>
      </c>
      <c r="E223" s="25" t="s">
        <v>487</v>
      </c>
      <c r="F223" s="25" t="s">
        <v>488</v>
      </c>
      <c r="G223" s="26" t="s">
        <v>33</v>
      </c>
      <c r="H223" s="85"/>
      <c r="I223" s="87"/>
      <c r="J223" s="33"/>
      <c r="K223" s="34"/>
    </row>
    <row r="224" spans="2:11" ht="15" thickBot="1" x14ac:dyDescent="0.35">
      <c r="B224" s="8"/>
      <c r="C224" s="58"/>
      <c r="D224" s="31"/>
      <c r="H224" s="90"/>
      <c r="I224" s="87"/>
      <c r="J224" s="33"/>
      <c r="K224" s="34"/>
    </row>
    <row r="225" spans="2:11" ht="15" thickBot="1" x14ac:dyDescent="0.35">
      <c r="B225" s="8"/>
      <c r="C225" s="94">
        <v>232</v>
      </c>
      <c r="D225" s="95"/>
      <c r="E225" s="95"/>
      <c r="F225" s="95"/>
      <c r="G225" s="95"/>
      <c r="H225" s="90" t="s">
        <v>489</v>
      </c>
      <c r="I225" s="87" t="s">
        <v>490</v>
      </c>
      <c r="J225" s="33"/>
      <c r="K225" s="34"/>
    </row>
    <row r="226" spans="2:11" ht="15" thickBot="1" x14ac:dyDescent="0.35">
      <c r="B226" s="8"/>
      <c r="C226" s="35"/>
      <c r="D226" s="31"/>
      <c r="H226" s="90"/>
      <c r="I226" s="87"/>
      <c r="J226" s="33"/>
      <c r="K226" s="34"/>
    </row>
    <row r="227" spans="2:11" ht="21.6" customHeight="1" x14ac:dyDescent="0.3">
      <c r="B227" s="8" t="s">
        <v>10</v>
      </c>
      <c r="C227" s="39">
        <v>234</v>
      </c>
      <c r="D227" s="11" t="s">
        <v>491</v>
      </c>
      <c r="E227" s="12" t="s">
        <v>492</v>
      </c>
      <c r="F227" s="12" t="s">
        <v>493</v>
      </c>
      <c r="G227" s="13" t="s">
        <v>33</v>
      </c>
      <c r="H227" s="133" t="s">
        <v>494</v>
      </c>
      <c r="I227" s="87" t="s">
        <v>495</v>
      </c>
      <c r="J227" s="33"/>
      <c r="K227" s="34"/>
    </row>
    <row r="228" spans="2:11" x14ac:dyDescent="0.3">
      <c r="B228" s="8"/>
      <c r="C228" s="44"/>
      <c r="D228" s="18" t="s">
        <v>496</v>
      </c>
      <c r="E228" s="19" t="s">
        <v>497</v>
      </c>
      <c r="F228" s="19" t="s">
        <v>498</v>
      </c>
      <c r="G228" s="20" t="s">
        <v>33</v>
      </c>
      <c r="H228" s="133"/>
      <c r="I228" s="87"/>
      <c r="J228" s="33"/>
      <c r="K228" s="34"/>
    </row>
    <row r="229" spans="2:11" x14ac:dyDescent="0.3">
      <c r="B229" s="8"/>
      <c r="C229" s="44"/>
      <c r="D229" s="45" t="s">
        <v>499</v>
      </c>
      <c r="E229" s="46" t="s">
        <v>500</v>
      </c>
      <c r="F229" s="46" t="s">
        <v>501</v>
      </c>
      <c r="G229" s="47" t="s">
        <v>33</v>
      </c>
      <c r="H229" s="133"/>
      <c r="I229" s="87"/>
      <c r="J229" s="33"/>
      <c r="K229" s="34"/>
    </row>
    <row r="230" spans="2:11" x14ac:dyDescent="0.3">
      <c r="B230" s="8"/>
      <c r="C230" s="44"/>
      <c r="D230" s="18" t="s">
        <v>502</v>
      </c>
      <c r="E230" s="19" t="s">
        <v>503</v>
      </c>
      <c r="F230" s="19" t="s">
        <v>504</v>
      </c>
      <c r="G230" s="20" t="s">
        <v>33</v>
      </c>
      <c r="H230" s="133"/>
      <c r="I230" s="87"/>
      <c r="J230" s="33"/>
      <c r="K230" s="34"/>
    </row>
    <row r="231" spans="2:11" ht="15" thickBot="1" x14ac:dyDescent="0.35">
      <c r="B231" s="8"/>
      <c r="C231" s="44"/>
      <c r="D231" s="24" t="s">
        <v>505</v>
      </c>
      <c r="E231" s="25" t="s">
        <v>506</v>
      </c>
      <c r="F231" s="25" t="s">
        <v>507</v>
      </c>
      <c r="G231" s="26" t="s">
        <v>33</v>
      </c>
      <c r="H231" s="133"/>
      <c r="I231" s="87"/>
      <c r="J231" s="33"/>
      <c r="K231" s="34"/>
    </row>
    <row r="232" spans="2:11" x14ac:dyDescent="0.3">
      <c r="B232" s="8"/>
      <c r="C232" s="58"/>
      <c r="D232" s="31"/>
      <c r="H232" s="134"/>
      <c r="I232" s="87"/>
      <c r="J232" s="33"/>
      <c r="K232" s="34"/>
    </row>
    <row r="233" spans="2:11" ht="15" thickBot="1" x14ac:dyDescent="0.35">
      <c r="B233" s="8"/>
      <c r="C233" s="58"/>
      <c r="D233" s="31"/>
      <c r="H233" s="134"/>
      <c r="I233" s="87"/>
      <c r="J233" s="33"/>
      <c r="K233" s="34"/>
    </row>
    <row r="234" spans="2:11" ht="15" customHeight="1" x14ac:dyDescent="0.3">
      <c r="B234" s="8" t="s">
        <v>8</v>
      </c>
      <c r="C234" s="39">
        <v>238</v>
      </c>
      <c r="D234" s="11" t="s">
        <v>508</v>
      </c>
      <c r="E234" s="12" t="s">
        <v>509</v>
      </c>
      <c r="F234" s="12" t="s">
        <v>510</v>
      </c>
      <c r="G234" s="13" t="s">
        <v>28</v>
      </c>
      <c r="H234" s="133" t="s">
        <v>511</v>
      </c>
      <c r="I234" s="135" t="s">
        <v>512</v>
      </c>
      <c r="J234" s="136" t="s">
        <v>513</v>
      </c>
      <c r="K234" s="34"/>
    </row>
    <row r="235" spans="2:11" ht="15" customHeight="1" x14ac:dyDescent="0.3">
      <c r="B235" s="8"/>
      <c r="C235" s="44"/>
      <c r="D235" s="18" t="s">
        <v>514</v>
      </c>
      <c r="E235" s="19" t="s">
        <v>515</v>
      </c>
      <c r="F235" s="19" t="s">
        <v>516</v>
      </c>
      <c r="G235" s="20" t="s">
        <v>28</v>
      </c>
      <c r="H235" s="133"/>
      <c r="I235" s="135"/>
      <c r="J235" s="136"/>
      <c r="K235" s="34"/>
    </row>
    <row r="236" spans="2:11" ht="15" customHeight="1" x14ac:dyDescent="0.3">
      <c r="B236" s="8"/>
      <c r="C236" s="44"/>
      <c r="D236" s="45" t="s">
        <v>517</v>
      </c>
      <c r="E236" s="46" t="s">
        <v>111</v>
      </c>
      <c r="F236" s="46" t="s">
        <v>518</v>
      </c>
      <c r="G236" s="47" t="s">
        <v>28</v>
      </c>
      <c r="H236" s="133"/>
      <c r="I236" s="135"/>
      <c r="J236" s="136"/>
      <c r="K236" s="34"/>
    </row>
    <row r="237" spans="2:11" ht="15" customHeight="1" x14ac:dyDescent="0.3">
      <c r="B237" s="8"/>
      <c r="C237" s="44"/>
      <c r="D237" s="18" t="s">
        <v>519</v>
      </c>
      <c r="E237" s="19" t="s">
        <v>520</v>
      </c>
      <c r="F237" s="19" t="s">
        <v>420</v>
      </c>
      <c r="G237" s="20" t="s">
        <v>28</v>
      </c>
      <c r="H237" s="133"/>
      <c r="I237" s="135"/>
      <c r="J237" s="136"/>
      <c r="K237" s="34"/>
    </row>
    <row r="238" spans="2:11" ht="15" customHeight="1" x14ac:dyDescent="0.3">
      <c r="B238" s="8"/>
      <c r="C238" s="44"/>
      <c r="D238" s="45" t="s">
        <v>521</v>
      </c>
      <c r="E238" s="46" t="s">
        <v>522</v>
      </c>
      <c r="F238" s="46" t="s">
        <v>523</v>
      </c>
      <c r="G238" s="47" t="s">
        <v>28</v>
      </c>
      <c r="H238" s="133"/>
      <c r="I238" s="135"/>
      <c r="J238" s="136"/>
      <c r="K238" s="34"/>
    </row>
    <row r="239" spans="2:11" ht="15" customHeight="1" thickBot="1" x14ac:dyDescent="0.35">
      <c r="B239" s="8"/>
      <c r="C239" s="44"/>
      <c r="D239" s="69" t="s">
        <v>524</v>
      </c>
      <c r="E239" s="70" t="s">
        <v>525</v>
      </c>
      <c r="F239" s="70" t="s">
        <v>526</v>
      </c>
      <c r="G239" s="71" t="s">
        <v>33</v>
      </c>
      <c r="H239" s="133"/>
      <c r="I239" s="135"/>
      <c r="J239" s="136"/>
      <c r="K239" s="34"/>
    </row>
    <row r="240" spans="2:11" ht="15" customHeight="1" x14ac:dyDescent="0.3">
      <c r="B240" s="8"/>
      <c r="C240" s="58"/>
      <c r="D240" s="131"/>
      <c r="E240" s="28"/>
      <c r="F240" s="28"/>
      <c r="G240" s="28"/>
      <c r="H240" s="134"/>
      <c r="I240" s="135"/>
      <c r="J240" s="136"/>
      <c r="K240" s="34"/>
    </row>
    <row r="241" spans="2:11" x14ac:dyDescent="0.3">
      <c r="B241" s="8"/>
      <c r="C241" s="94">
        <v>239</v>
      </c>
      <c r="D241" s="31" t="s">
        <v>527</v>
      </c>
      <c r="H241" s="72" t="s">
        <v>528</v>
      </c>
      <c r="I241" s="135" t="s">
        <v>529</v>
      </c>
      <c r="J241" s="137" t="s">
        <v>530</v>
      </c>
      <c r="K241" s="34"/>
    </row>
    <row r="242" spans="2:11" x14ac:dyDescent="0.3">
      <c r="B242" s="8"/>
      <c r="C242" s="58"/>
      <c r="D242" s="31"/>
      <c r="H242" s="72"/>
      <c r="I242" s="135"/>
      <c r="J242" s="137"/>
      <c r="K242" s="34"/>
    </row>
    <row r="243" spans="2:11" ht="15" thickBot="1" x14ac:dyDescent="0.35">
      <c r="B243" s="8"/>
      <c r="C243" s="44"/>
      <c r="D243" s="31"/>
      <c r="H243" s="60"/>
      <c r="I243" s="135"/>
      <c r="J243" s="137"/>
      <c r="K243" s="34"/>
    </row>
    <row r="244" spans="2:11" x14ac:dyDescent="0.3">
      <c r="B244" s="57" t="s">
        <v>6</v>
      </c>
      <c r="C244" s="39">
        <v>240</v>
      </c>
      <c r="D244" s="119" t="s">
        <v>531</v>
      </c>
      <c r="E244" s="120" t="s">
        <v>532</v>
      </c>
      <c r="F244" s="120" t="s">
        <v>338</v>
      </c>
      <c r="G244" s="99" t="s">
        <v>33</v>
      </c>
      <c r="H244" s="60" t="s">
        <v>533</v>
      </c>
      <c r="I244" s="138" t="s">
        <v>534</v>
      </c>
      <c r="J244" s="33"/>
      <c r="K244" s="34"/>
    </row>
    <row r="245" spans="2:11" x14ac:dyDescent="0.3">
      <c r="B245" s="8"/>
      <c r="C245" s="44"/>
      <c r="D245" s="48" t="s">
        <v>535</v>
      </c>
      <c r="E245" s="49" t="s">
        <v>435</v>
      </c>
      <c r="F245" s="49" t="s">
        <v>536</v>
      </c>
      <c r="G245" s="50" t="s">
        <v>28</v>
      </c>
      <c r="H245" s="60"/>
      <c r="I245" s="138"/>
      <c r="J245" s="33"/>
      <c r="K245" s="34"/>
    </row>
    <row r="246" spans="2:11" x14ac:dyDescent="0.3">
      <c r="B246" s="8"/>
      <c r="C246" s="44"/>
      <c r="D246" s="48" t="s">
        <v>537</v>
      </c>
      <c r="E246" s="49" t="s">
        <v>538</v>
      </c>
      <c r="F246" s="49" t="s">
        <v>201</v>
      </c>
      <c r="G246" s="50" t="s">
        <v>33</v>
      </c>
      <c r="H246" s="60"/>
      <c r="I246" s="139"/>
      <c r="J246" s="33"/>
      <c r="K246" s="34"/>
    </row>
    <row r="247" spans="2:11" ht="15" thickBot="1" x14ac:dyDescent="0.35">
      <c r="B247" s="8"/>
      <c r="C247" s="44"/>
      <c r="D247" s="51" t="s">
        <v>539</v>
      </c>
      <c r="E247" s="52" t="s">
        <v>540</v>
      </c>
      <c r="F247" s="52" t="s">
        <v>541</v>
      </c>
      <c r="G247" s="53" t="s">
        <v>33</v>
      </c>
      <c r="H247" s="60"/>
      <c r="I247" s="139"/>
      <c r="J247" s="33"/>
      <c r="K247" s="34"/>
    </row>
    <row r="248" spans="2:11" ht="15" thickBot="1" x14ac:dyDescent="0.35">
      <c r="B248" s="8"/>
      <c r="C248" s="58"/>
      <c r="D248" s="31"/>
      <c r="H248" s="72"/>
      <c r="I248" s="139"/>
      <c r="J248" s="33"/>
      <c r="K248" s="34"/>
    </row>
    <row r="249" spans="2:11" ht="19.2" customHeight="1" x14ac:dyDescent="0.3">
      <c r="B249" s="8" t="s">
        <v>14</v>
      </c>
      <c r="C249" s="39">
        <v>241</v>
      </c>
      <c r="D249" s="40" t="s">
        <v>542</v>
      </c>
      <c r="E249" s="41" t="s">
        <v>543</v>
      </c>
      <c r="F249" s="41" t="s">
        <v>170</v>
      </c>
      <c r="G249" s="42" t="s">
        <v>245</v>
      </c>
      <c r="H249" s="60" t="s">
        <v>544</v>
      </c>
      <c r="I249" s="87" t="s">
        <v>545</v>
      </c>
      <c r="J249" s="33"/>
      <c r="K249" s="34"/>
    </row>
    <row r="250" spans="2:11" ht="15" customHeight="1" x14ac:dyDescent="0.3">
      <c r="B250" s="8"/>
      <c r="C250" s="44"/>
      <c r="D250" s="45" t="s">
        <v>546</v>
      </c>
      <c r="E250" s="46" t="s">
        <v>547</v>
      </c>
      <c r="F250" s="46" t="s">
        <v>548</v>
      </c>
      <c r="G250" s="47" t="s">
        <v>33</v>
      </c>
      <c r="H250" s="60"/>
      <c r="I250" s="87"/>
      <c r="J250" s="33"/>
      <c r="K250" s="34"/>
    </row>
    <row r="251" spans="2:11" ht="15" customHeight="1" x14ac:dyDescent="0.3">
      <c r="B251" s="8"/>
      <c r="C251" s="44"/>
      <c r="D251" s="18" t="s">
        <v>549</v>
      </c>
      <c r="E251" s="19" t="s">
        <v>550</v>
      </c>
      <c r="F251" s="19" t="s">
        <v>551</v>
      </c>
      <c r="G251" s="20" t="s">
        <v>33</v>
      </c>
      <c r="H251" s="60"/>
      <c r="I251" s="87"/>
      <c r="J251" s="33"/>
      <c r="K251" s="34"/>
    </row>
    <row r="252" spans="2:11" ht="15" customHeight="1" x14ac:dyDescent="0.3">
      <c r="B252" s="8"/>
      <c r="C252" s="44"/>
      <c r="D252" s="45" t="s">
        <v>552</v>
      </c>
      <c r="E252" s="46" t="s">
        <v>353</v>
      </c>
      <c r="F252" s="46" t="s">
        <v>553</v>
      </c>
      <c r="G252" s="47" t="s">
        <v>245</v>
      </c>
      <c r="H252" s="60"/>
      <c r="I252" s="87"/>
      <c r="J252" s="33"/>
      <c r="K252" s="34"/>
    </row>
    <row r="253" spans="2:11" ht="15" customHeight="1" thickBot="1" x14ac:dyDescent="0.35">
      <c r="B253" s="8"/>
      <c r="C253" s="44"/>
      <c r="D253" s="69" t="s">
        <v>554</v>
      </c>
      <c r="E253" s="70" t="s">
        <v>555</v>
      </c>
      <c r="F253" s="70" t="s">
        <v>556</v>
      </c>
      <c r="G253" s="71" t="s">
        <v>245</v>
      </c>
      <c r="H253" s="60"/>
      <c r="I253" s="87"/>
      <c r="J253" s="33"/>
      <c r="K253" s="34"/>
    </row>
    <row r="254" spans="2:11" ht="15" customHeight="1" thickBot="1" x14ac:dyDescent="0.35">
      <c r="B254" s="8"/>
      <c r="C254" s="58" t="s">
        <v>527</v>
      </c>
      <c r="D254" s="140" t="s">
        <v>557</v>
      </c>
      <c r="E254" s="140" t="s">
        <v>558</v>
      </c>
      <c r="F254" s="140" t="s">
        <v>559</v>
      </c>
      <c r="G254" s="140" t="s">
        <v>28</v>
      </c>
      <c r="H254" s="72"/>
      <c r="I254" s="87"/>
      <c r="J254" s="33"/>
      <c r="K254" s="34"/>
    </row>
    <row r="255" spans="2:11" ht="15" customHeight="1" thickBot="1" x14ac:dyDescent="0.35">
      <c r="B255" s="8"/>
      <c r="C255" s="58"/>
      <c r="D255" s="31"/>
      <c r="H255" s="72"/>
      <c r="I255" s="87"/>
      <c r="J255" s="33"/>
      <c r="K255" s="34"/>
    </row>
    <row r="256" spans="2:11" ht="15.6" x14ac:dyDescent="0.3">
      <c r="B256" s="8" t="s">
        <v>14</v>
      </c>
      <c r="C256" s="39">
        <v>242</v>
      </c>
      <c r="D256" s="11" t="s">
        <v>560</v>
      </c>
      <c r="E256" s="12" t="s">
        <v>561</v>
      </c>
      <c r="F256" s="12" t="s">
        <v>562</v>
      </c>
      <c r="G256" s="13" t="s">
        <v>245</v>
      </c>
      <c r="H256" s="141" t="s">
        <v>563</v>
      </c>
      <c r="I256" s="142" t="s">
        <v>564</v>
      </c>
      <c r="J256" s="33"/>
      <c r="K256" s="143" t="s">
        <v>565</v>
      </c>
    </row>
    <row r="257" spans="2:11" ht="15.6" x14ac:dyDescent="0.3">
      <c r="B257" s="8"/>
      <c r="C257" s="44"/>
      <c r="D257" s="45" t="s">
        <v>566</v>
      </c>
      <c r="E257" s="46" t="s">
        <v>567</v>
      </c>
      <c r="F257" s="46" t="s">
        <v>568</v>
      </c>
      <c r="G257" s="47" t="s">
        <v>245</v>
      </c>
      <c r="H257" s="141"/>
      <c r="I257" s="142"/>
      <c r="J257" s="33"/>
      <c r="K257" s="143"/>
    </row>
    <row r="258" spans="2:11" ht="15.6" x14ac:dyDescent="0.3">
      <c r="B258" s="8"/>
      <c r="C258" s="44"/>
      <c r="D258" s="18" t="s">
        <v>569</v>
      </c>
      <c r="E258" s="19" t="s">
        <v>570</v>
      </c>
      <c r="F258" s="19" t="s">
        <v>571</v>
      </c>
      <c r="G258" s="20" t="s">
        <v>33</v>
      </c>
      <c r="H258" s="141"/>
      <c r="I258" s="142"/>
      <c r="J258" s="33"/>
      <c r="K258" s="143"/>
    </row>
    <row r="259" spans="2:11" ht="15.6" x14ac:dyDescent="0.3">
      <c r="B259" s="8"/>
      <c r="C259" s="44"/>
      <c r="D259" s="45" t="s">
        <v>572</v>
      </c>
      <c r="E259" s="46" t="s">
        <v>459</v>
      </c>
      <c r="F259" s="46" t="s">
        <v>573</v>
      </c>
      <c r="G259" s="47" t="s">
        <v>33</v>
      </c>
      <c r="H259" s="141"/>
      <c r="I259" s="142"/>
      <c r="J259" s="33"/>
      <c r="K259" s="143"/>
    </row>
    <row r="260" spans="2:11" ht="16.2" thickBot="1" x14ac:dyDescent="0.35">
      <c r="B260" s="8"/>
      <c r="C260" s="44"/>
      <c r="D260" s="69" t="s">
        <v>574</v>
      </c>
      <c r="E260" s="70" t="s">
        <v>575</v>
      </c>
      <c r="F260" s="70" t="s">
        <v>576</v>
      </c>
      <c r="G260" s="71" t="s">
        <v>28</v>
      </c>
      <c r="H260" s="141"/>
      <c r="I260" s="142"/>
      <c r="J260" s="33"/>
      <c r="K260" s="143"/>
    </row>
    <row r="261" spans="2:11" ht="16.2" thickBot="1" x14ac:dyDescent="0.35">
      <c r="B261" s="8"/>
      <c r="C261" s="44"/>
      <c r="D261" s="131"/>
      <c r="E261" s="28"/>
      <c r="F261" s="28"/>
      <c r="G261" s="28"/>
      <c r="H261" s="141"/>
      <c r="I261" s="142"/>
      <c r="J261" s="33"/>
      <c r="K261" s="143"/>
    </row>
    <row r="262" spans="2:11" ht="16.2" thickBot="1" x14ac:dyDescent="0.35">
      <c r="B262" s="8" t="s">
        <v>14</v>
      </c>
      <c r="C262" s="39"/>
      <c r="D262" s="144" t="s">
        <v>577</v>
      </c>
      <c r="E262" s="145" t="s">
        <v>578</v>
      </c>
      <c r="F262" s="145" t="s">
        <v>579</v>
      </c>
      <c r="G262" s="146" t="s">
        <v>33</v>
      </c>
      <c r="H262" s="141" t="s">
        <v>580</v>
      </c>
      <c r="I262" s="142"/>
      <c r="J262" s="33"/>
      <c r="K262" s="143"/>
    </row>
    <row r="263" spans="2:11" ht="15.6" x14ac:dyDescent="0.3">
      <c r="B263" s="8"/>
      <c r="C263" s="44"/>
      <c r="D263" s="131"/>
      <c r="E263" s="28"/>
      <c r="F263" s="28"/>
      <c r="G263" s="28"/>
      <c r="H263" s="141"/>
      <c r="I263" s="142"/>
      <c r="J263" s="33"/>
      <c r="K263" s="143"/>
    </row>
    <row r="264" spans="2:11" ht="16.2" thickBot="1" x14ac:dyDescent="0.35">
      <c r="B264" s="8"/>
      <c r="C264" s="58"/>
      <c r="D264" s="31"/>
      <c r="H264" s="147"/>
      <c r="I264" s="142"/>
      <c r="J264" s="33"/>
      <c r="K264" s="143"/>
    </row>
    <row r="265" spans="2:11" x14ac:dyDescent="0.3">
      <c r="B265" s="8" t="s">
        <v>14</v>
      </c>
      <c r="C265" s="39">
        <v>243</v>
      </c>
      <c r="D265" s="11" t="s">
        <v>581</v>
      </c>
      <c r="E265" s="12" t="s">
        <v>582</v>
      </c>
      <c r="F265" s="12" t="s">
        <v>583</v>
      </c>
      <c r="G265" s="13" t="s">
        <v>245</v>
      </c>
      <c r="H265" s="148" t="s">
        <v>584</v>
      </c>
      <c r="I265" s="142" t="s">
        <v>585</v>
      </c>
      <c r="J265" s="33"/>
      <c r="K265" s="34"/>
    </row>
    <row r="266" spans="2:11" x14ac:dyDescent="0.3">
      <c r="B266" s="8"/>
      <c r="C266" s="44"/>
      <c r="D266" s="18" t="s">
        <v>586</v>
      </c>
      <c r="E266" s="19" t="s">
        <v>233</v>
      </c>
      <c r="F266" s="19" t="s">
        <v>587</v>
      </c>
      <c r="G266" s="20" t="s">
        <v>28</v>
      </c>
      <c r="H266" s="148"/>
      <c r="I266" s="142"/>
      <c r="J266" s="33"/>
      <c r="K266" s="34"/>
    </row>
    <row r="267" spans="2:11" x14ac:dyDescent="0.3">
      <c r="B267" s="8"/>
      <c r="C267" s="44"/>
      <c r="D267" s="45" t="s">
        <v>588</v>
      </c>
      <c r="E267" s="46" t="s">
        <v>353</v>
      </c>
      <c r="F267" s="46" t="s">
        <v>589</v>
      </c>
      <c r="G267" s="47" t="s">
        <v>245</v>
      </c>
      <c r="H267" s="148"/>
      <c r="I267" s="142"/>
      <c r="J267" s="33"/>
      <c r="K267" s="34"/>
    </row>
    <row r="268" spans="2:11" x14ac:dyDescent="0.3">
      <c r="B268" s="8"/>
      <c r="C268" s="44"/>
      <c r="D268" s="18" t="s">
        <v>590</v>
      </c>
      <c r="E268" s="19" t="s">
        <v>591</v>
      </c>
      <c r="F268" s="19" t="s">
        <v>592</v>
      </c>
      <c r="G268" s="20" t="s">
        <v>28</v>
      </c>
      <c r="H268" s="148"/>
      <c r="I268" s="142"/>
      <c r="J268" s="33"/>
      <c r="K268" s="34"/>
    </row>
    <row r="269" spans="2:11" ht="15" thickBot="1" x14ac:dyDescent="0.35">
      <c r="B269" s="8"/>
      <c r="C269" s="44"/>
      <c r="D269" s="69" t="s">
        <v>593</v>
      </c>
      <c r="E269" s="70" t="s">
        <v>594</v>
      </c>
      <c r="F269" s="70" t="s">
        <v>595</v>
      </c>
      <c r="G269" s="71" t="s">
        <v>245</v>
      </c>
      <c r="H269" s="148"/>
      <c r="I269" s="142"/>
      <c r="J269" s="33"/>
      <c r="K269" s="34"/>
    </row>
    <row r="270" spans="2:11" x14ac:dyDescent="0.3">
      <c r="B270" s="8"/>
      <c r="C270" s="58"/>
      <c r="H270" s="149"/>
      <c r="I270" s="142"/>
      <c r="J270" s="33"/>
      <c r="K270" s="34"/>
    </row>
    <row r="271" spans="2:11" ht="15" thickBot="1" x14ac:dyDescent="0.35">
      <c r="B271" s="8"/>
      <c r="C271" s="58"/>
      <c r="H271" s="149"/>
      <c r="I271" s="142"/>
      <c r="J271" s="33"/>
      <c r="K271" s="34"/>
    </row>
    <row r="272" spans="2:11" x14ac:dyDescent="0.3">
      <c r="B272" s="8" t="s">
        <v>4</v>
      </c>
      <c r="C272" s="39">
        <v>244</v>
      </c>
      <c r="D272" s="11" t="s">
        <v>596</v>
      </c>
      <c r="E272" s="12" t="s">
        <v>597</v>
      </c>
      <c r="F272" s="12" t="s">
        <v>85</v>
      </c>
      <c r="G272" s="13" t="s">
        <v>28</v>
      </c>
      <c r="H272" s="150" t="s">
        <v>598</v>
      </c>
      <c r="I272" s="151" t="s">
        <v>599</v>
      </c>
      <c r="J272" s="151" t="s">
        <v>599</v>
      </c>
      <c r="K272" s="34"/>
    </row>
    <row r="273" spans="2:11" x14ac:dyDescent="0.3">
      <c r="B273" s="8"/>
      <c r="C273" s="44"/>
      <c r="D273" s="18" t="s">
        <v>600</v>
      </c>
      <c r="E273" s="19" t="s">
        <v>601</v>
      </c>
      <c r="F273" s="19" t="s">
        <v>602</v>
      </c>
      <c r="G273" s="20" t="s">
        <v>33</v>
      </c>
      <c r="H273" s="150"/>
      <c r="I273" s="151"/>
      <c r="J273" s="151"/>
      <c r="K273" s="34"/>
    </row>
    <row r="274" spans="2:11" ht="15" thickBot="1" x14ac:dyDescent="0.35">
      <c r="B274" s="8"/>
      <c r="C274" s="44"/>
      <c r="D274" s="24" t="s">
        <v>603</v>
      </c>
      <c r="E274" s="25" t="s">
        <v>604</v>
      </c>
      <c r="F274" s="25" t="s">
        <v>605</v>
      </c>
      <c r="G274" s="26" t="s">
        <v>33</v>
      </c>
      <c r="H274" s="150"/>
      <c r="I274" s="151"/>
      <c r="J274" s="151"/>
      <c r="K274" s="34"/>
    </row>
    <row r="275" spans="2:11" ht="15" thickBot="1" x14ac:dyDescent="0.35">
      <c r="B275" s="8"/>
      <c r="C275" s="58"/>
      <c r="D275" s="152" t="s">
        <v>606</v>
      </c>
      <c r="E275" s="152" t="s">
        <v>607</v>
      </c>
      <c r="F275" s="152" t="s">
        <v>608</v>
      </c>
      <c r="G275" s="152" t="s">
        <v>33</v>
      </c>
      <c r="H275" s="153"/>
      <c r="I275" s="151"/>
      <c r="J275" s="151"/>
      <c r="K275" s="34"/>
    </row>
    <row r="276" spans="2:11" ht="15" thickBot="1" x14ac:dyDescent="0.35">
      <c r="B276" s="8"/>
      <c r="C276" s="58"/>
      <c r="D276" s="31"/>
      <c r="H276" s="153"/>
      <c r="I276" s="151"/>
      <c r="J276" s="151"/>
      <c r="K276" s="34"/>
    </row>
    <row r="277" spans="2:11" x14ac:dyDescent="0.3">
      <c r="B277" s="8" t="s">
        <v>6</v>
      </c>
      <c r="C277" s="39">
        <v>245</v>
      </c>
      <c r="D277" s="40" t="s">
        <v>609</v>
      </c>
      <c r="E277" s="41" t="s">
        <v>610</v>
      </c>
      <c r="F277" s="41" t="s">
        <v>611</v>
      </c>
      <c r="G277" s="42" t="s">
        <v>28</v>
      </c>
      <c r="H277" s="148" t="s">
        <v>612</v>
      </c>
      <c r="I277" s="154" t="s">
        <v>613</v>
      </c>
      <c r="J277" s="33"/>
      <c r="K277" s="34"/>
    </row>
    <row r="278" spans="2:11" x14ac:dyDescent="0.3">
      <c r="B278" s="8"/>
      <c r="C278" s="44"/>
      <c r="D278" s="45" t="s">
        <v>614</v>
      </c>
      <c r="E278" s="46" t="s">
        <v>615</v>
      </c>
      <c r="F278" s="46" t="s">
        <v>225</v>
      </c>
      <c r="G278" s="47" t="s">
        <v>28</v>
      </c>
      <c r="H278" s="148"/>
      <c r="I278" s="154"/>
      <c r="J278" s="33"/>
      <c r="K278" s="34"/>
    </row>
    <row r="279" spans="2:11" x14ac:dyDescent="0.3">
      <c r="B279" s="8"/>
      <c r="C279" s="44"/>
      <c r="D279" s="18" t="s">
        <v>616</v>
      </c>
      <c r="E279" s="19" t="s">
        <v>617</v>
      </c>
      <c r="F279" s="19" t="s">
        <v>618</v>
      </c>
      <c r="G279" s="20" t="s">
        <v>28</v>
      </c>
      <c r="H279" s="148"/>
      <c r="I279" s="154"/>
      <c r="J279" s="33"/>
      <c r="K279" s="34"/>
    </row>
    <row r="280" spans="2:11" x14ac:dyDescent="0.3">
      <c r="B280" s="8"/>
      <c r="C280" s="44"/>
      <c r="D280" s="45" t="s">
        <v>619</v>
      </c>
      <c r="E280" s="46" t="s">
        <v>620</v>
      </c>
      <c r="F280" s="46" t="s">
        <v>124</v>
      </c>
      <c r="G280" s="47" t="s">
        <v>28</v>
      </c>
      <c r="H280" s="148"/>
      <c r="I280" s="154"/>
      <c r="J280" s="33"/>
      <c r="K280" s="34"/>
    </row>
    <row r="281" spans="2:11" x14ac:dyDescent="0.3">
      <c r="B281" s="8"/>
      <c r="C281" s="44"/>
      <c r="D281" s="18" t="s">
        <v>613</v>
      </c>
      <c r="E281" s="19" t="s">
        <v>621</v>
      </c>
      <c r="F281" s="19" t="s">
        <v>622</v>
      </c>
      <c r="G281" s="20" t="s">
        <v>28</v>
      </c>
      <c r="H281" s="148"/>
      <c r="I281" s="154"/>
      <c r="J281" s="33"/>
      <c r="K281" s="34"/>
    </row>
    <row r="282" spans="2:11" x14ac:dyDescent="0.3">
      <c r="B282" s="8"/>
      <c r="C282" s="44"/>
      <c r="D282" s="45" t="s">
        <v>623</v>
      </c>
      <c r="E282" s="46" t="s">
        <v>624</v>
      </c>
      <c r="F282" s="46" t="s">
        <v>625</v>
      </c>
      <c r="G282" s="47" t="s">
        <v>28</v>
      </c>
      <c r="H282" s="148"/>
      <c r="I282" s="154"/>
      <c r="J282" s="33"/>
      <c r="K282" s="34"/>
    </row>
    <row r="283" spans="2:11" ht="15" thickBot="1" x14ac:dyDescent="0.35">
      <c r="B283" s="8"/>
      <c r="C283" s="44"/>
      <c r="D283" s="69" t="s">
        <v>626</v>
      </c>
      <c r="E283" s="70" t="s">
        <v>627</v>
      </c>
      <c r="F283" s="70" t="s">
        <v>628</v>
      </c>
      <c r="G283" s="71" t="s">
        <v>33</v>
      </c>
      <c r="H283" s="148"/>
      <c r="I283" s="154"/>
      <c r="J283" s="33"/>
      <c r="K283" s="34"/>
    </row>
    <row r="284" spans="2:11" x14ac:dyDescent="0.3">
      <c r="B284" s="8"/>
      <c r="C284" s="58"/>
      <c r="D284" s="31"/>
      <c r="H284" s="149"/>
      <c r="I284" s="154"/>
      <c r="J284" s="33"/>
      <c r="K284" s="34"/>
    </row>
    <row r="285" spans="2:11" ht="15" thickBot="1" x14ac:dyDescent="0.35">
      <c r="B285" s="8"/>
      <c r="C285" s="58"/>
      <c r="D285" s="31"/>
      <c r="H285" s="149"/>
      <c r="I285" s="154"/>
      <c r="J285" s="33"/>
      <c r="K285" s="34"/>
    </row>
    <row r="286" spans="2:11" x14ac:dyDescent="0.3">
      <c r="B286" s="8" t="s">
        <v>4</v>
      </c>
      <c r="C286" s="39">
        <v>247</v>
      </c>
      <c r="D286" s="40" t="s">
        <v>629</v>
      </c>
      <c r="E286" s="41" t="s">
        <v>630</v>
      </c>
      <c r="F286" s="41" t="s">
        <v>631</v>
      </c>
      <c r="G286" s="42" t="s">
        <v>33</v>
      </c>
      <c r="H286" s="155" t="s">
        <v>632</v>
      </c>
      <c r="I286" s="87" t="s">
        <v>633</v>
      </c>
      <c r="J286" s="87" t="s">
        <v>634</v>
      </c>
      <c r="K286" s="34"/>
    </row>
    <row r="287" spans="2:11" x14ac:dyDescent="0.3">
      <c r="B287" s="8"/>
      <c r="C287" s="44"/>
      <c r="D287" s="45" t="s">
        <v>635</v>
      </c>
      <c r="E287" s="46" t="s">
        <v>636</v>
      </c>
      <c r="F287" s="46" t="s">
        <v>637</v>
      </c>
      <c r="G287" s="47" t="s">
        <v>33</v>
      </c>
      <c r="H287" s="155"/>
      <c r="I287" s="87"/>
      <c r="J287" s="87"/>
      <c r="K287" s="34"/>
    </row>
    <row r="288" spans="2:11" x14ac:dyDescent="0.3">
      <c r="B288" s="8"/>
      <c r="C288" s="44"/>
      <c r="D288" s="45" t="s">
        <v>638</v>
      </c>
      <c r="E288" s="46" t="s">
        <v>639</v>
      </c>
      <c r="F288" s="46" t="s">
        <v>640</v>
      </c>
      <c r="G288" s="47" t="s">
        <v>28</v>
      </c>
      <c r="H288" s="155"/>
      <c r="I288" s="87"/>
      <c r="J288" s="87"/>
      <c r="K288" s="34"/>
    </row>
    <row r="289" spans="2:11" ht="15" thickBot="1" x14ac:dyDescent="0.35">
      <c r="B289" s="8"/>
      <c r="C289" s="44"/>
      <c r="D289" s="24" t="s">
        <v>641</v>
      </c>
      <c r="E289" s="25" t="s">
        <v>642</v>
      </c>
      <c r="F289" s="25" t="s">
        <v>643</v>
      </c>
      <c r="G289" s="26" t="s">
        <v>33</v>
      </c>
      <c r="H289" s="155"/>
      <c r="I289" s="87"/>
      <c r="J289" s="87"/>
      <c r="K289" s="34"/>
    </row>
    <row r="290" spans="2:11" x14ac:dyDescent="0.3">
      <c r="B290" s="8"/>
      <c r="C290" s="58"/>
      <c r="D290" s="31"/>
      <c r="H290" s="72"/>
      <c r="I290" s="154"/>
      <c r="J290" s="87"/>
      <c r="K290" s="34"/>
    </row>
    <row r="291" spans="2:11" ht="15" thickBot="1" x14ac:dyDescent="0.35">
      <c r="B291" s="8"/>
      <c r="C291" s="105"/>
      <c r="D291" s="31"/>
      <c r="H291" s="156"/>
      <c r="I291" s="157"/>
      <c r="J291" s="108"/>
      <c r="K291" s="34"/>
    </row>
    <row r="292" spans="2:11" x14ac:dyDescent="0.3">
      <c r="B292" s="8" t="s">
        <v>6</v>
      </c>
      <c r="C292" s="39">
        <v>248</v>
      </c>
      <c r="D292" s="11" t="s">
        <v>644</v>
      </c>
      <c r="E292" s="12" t="s">
        <v>111</v>
      </c>
      <c r="F292" s="12" t="s">
        <v>645</v>
      </c>
      <c r="G292" s="13" t="s">
        <v>28</v>
      </c>
      <c r="H292" t="s">
        <v>646</v>
      </c>
      <c r="I292" s="158" t="s">
        <v>647</v>
      </c>
      <c r="J292" s="159" t="s">
        <v>634</v>
      </c>
      <c r="K292" s="34"/>
    </row>
    <row r="293" spans="2:11" x14ac:dyDescent="0.3">
      <c r="B293" s="8"/>
      <c r="C293" s="105"/>
      <c r="D293" s="45" t="s">
        <v>648</v>
      </c>
      <c r="E293" s="46" t="s">
        <v>649</v>
      </c>
      <c r="F293" s="46" t="s">
        <v>650</v>
      </c>
      <c r="G293" s="47" t="s">
        <v>33</v>
      </c>
      <c r="H293" s="156"/>
      <c r="I293" s="157"/>
      <c r="J293" s="108"/>
      <c r="K293" s="34"/>
    </row>
    <row r="294" spans="2:11" x14ac:dyDescent="0.3">
      <c r="B294" s="8"/>
      <c r="C294" s="105"/>
      <c r="D294" s="18" t="s">
        <v>651</v>
      </c>
      <c r="E294" s="19" t="s">
        <v>652</v>
      </c>
      <c r="F294" s="19" t="s">
        <v>653</v>
      </c>
      <c r="G294" s="20" t="s">
        <v>245</v>
      </c>
      <c r="H294" s="156"/>
      <c r="I294" s="157"/>
      <c r="J294" s="108"/>
      <c r="K294" s="34"/>
    </row>
    <row r="295" spans="2:11" ht="15" thickBot="1" x14ac:dyDescent="0.35">
      <c r="B295" s="8"/>
      <c r="C295" s="105"/>
      <c r="D295" s="24" t="s">
        <v>654</v>
      </c>
      <c r="E295" s="25" t="s">
        <v>105</v>
      </c>
      <c r="F295" s="25" t="s">
        <v>655</v>
      </c>
      <c r="G295" s="26" t="s">
        <v>245</v>
      </c>
      <c r="H295" s="156"/>
      <c r="I295" s="157"/>
      <c r="J295" s="108"/>
      <c r="K295" s="34"/>
    </row>
    <row r="296" spans="2:11" ht="15" thickBot="1" x14ac:dyDescent="0.35">
      <c r="B296" s="8"/>
      <c r="C296" s="105"/>
      <c r="D296" s="160"/>
      <c r="E296" s="109"/>
      <c r="F296" s="109"/>
      <c r="G296" s="110"/>
      <c r="H296" s="156"/>
      <c r="I296" s="157"/>
      <c r="J296" s="108"/>
      <c r="K296" s="34"/>
    </row>
    <row r="297" spans="2:11" ht="15" thickBot="1" x14ac:dyDescent="0.35">
      <c r="B297" s="8" t="s">
        <v>4</v>
      </c>
      <c r="C297" s="39">
        <v>249</v>
      </c>
      <c r="D297" s="161" t="s">
        <v>656</v>
      </c>
      <c r="E297" s="162" t="s">
        <v>657</v>
      </c>
      <c r="F297" s="162" t="s">
        <v>201</v>
      </c>
      <c r="G297" s="163" t="s">
        <v>28</v>
      </c>
      <c r="H297" s="60" t="s">
        <v>658</v>
      </c>
      <c r="I297" s="164" t="s">
        <v>659</v>
      </c>
      <c r="J297" s="87" t="s">
        <v>634</v>
      </c>
      <c r="K297" s="34"/>
    </row>
    <row r="298" spans="2:11" ht="15" thickBot="1" x14ac:dyDescent="0.35">
      <c r="B298" s="8"/>
      <c r="C298" s="105"/>
      <c r="D298" s="165" t="s">
        <v>660</v>
      </c>
      <c r="E298" s="166" t="s">
        <v>661</v>
      </c>
      <c r="F298" s="166" t="s">
        <v>662</v>
      </c>
      <c r="G298" s="167" t="s">
        <v>28</v>
      </c>
      <c r="H298" s="156"/>
      <c r="I298" s="157"/>
      <c r="J298" s="108"/>
      <c r="K298" s="34"/>
    </row>
    <row r="299" spans="2:11" ht="15" thickBot="1" x14ac:dyDescent="0.35">
      <c r="B299" s="8"/>
      <c r="C299" s="105"/>
      <c r="D299" s="168"/>
      <c r="E299" s="169"/>
      <c r="F299" s="169"/>
      <c r="G299" s="170"/>
      <c r="H299" s="156"/>
      <c r="I299" s="157"/>
      <c r="J299" s="108"/>
      <c r="K299" s="34"/>
    </row>
    <row r="300" spans="2:11" x14ac:dyDescent="0.3">
      <c r="B300" s="8" t="s">
        <v>14</v>
      </c>
      <c r="C300" s="39">
        <v>251</v>
      </c>
      <c r="D300" s="171" t="s">
        <v>663</v>
      </c>
      <c r="E300" s="68" t="s">
        <v>664</v>
      </c>
      <c r="F300" s="68" t="s">
        <v>665</v>
      </c>
      <c r="G300" s="172" t="s">
        <v>245</v>
      </c>
      <c r="H300" s="173" t="s">
        <v>666</v>
      </c>
      <c r="I300" s="108" t="s">
        <v>565</v>
      </c>
      <c r="J300" s="108" t="s">
        <v>634</v>
      </c>
      <c r="K300" s="143" t="s">
        <v>565</v>
      </c>
    </row>
    <row r="301" spans="2:11" x14ac:dyDescent="0.3">
      <c r="B301" s="8"/>
      <c r="C301" s="174"/>
      <c r="D301" s="45" t="s">
        <v>667</v>
      </c>
      <c r="E301" s="46" t="s">
        <v>618</v>
      </c>
      <c r="F301" s="46" t="s">
        <v>273</v>
      </c>
      <c r="G301" s="47" t="s">
        <v>245</v>
      </c>
      <c r="H301" s="173"/>
      <c r="I301" s="108"/>
      <c r="J301" s="108"/>
      <c r="K301" s="175"/>
    </row>
    <row r="302" spans="2:11" x14ac:dyDescent="0.3">
      <c r="B302" s="8"/>
      <c r="C302" s="174"/>
      <c r="D302" s="18" t="s">
        <v>668</v>
      </c>
      <c r="E302" s="19" t="s">
        <v>669</v>
      </c>
      <c r="F302" s="19" t="s">
        <v>670</v>
      </c>
      <c r="G302" s="20" t="s">
        <v>245</v>
      </c>
      <c r="H302" s="173"/>
      <c r="I302" s="108"/>
      <c r="J302" s="108"/>
      <c r="K302" s="175"/>
    </row>
    <row r="303" spans="2:11" x14ac:dyDescent="0.3">
      <c r="B303" s="8"/>
      <c r="C303" s="174"/>
      <c r="D303" s="45" t="s">
        <v>671</v>
      </c>
      <c r="E303" s="46" t="s">
        <v>672</v>
      </c>
      <c r="F303" s="46" t="s">
        <v>673</v>
      </c>
      <c r="G303" s="47" t="s">
        <v>245</v>
      </c>
      <c r="H303" s="173"/>
      <c r="I303" s="108"/>
      <c r="J303" s="108"/>
      <c r="K303" s="175"/>
    </row>
    <row r="304" spans="2:11" x14ac:dyDescent="0.3">
      <c r="B304" s="8"/>
      <c r="C304" s="174"/>
      <c r="D304" s="18" t="s">
        <v>674</v>
      </c>
      <c r="E304" s="19" t="s">
        <v>105</v>
      </c>
      <c r="F304" s="19" t="s">
        <v>675</v>
      </c>
      <c r="G304" s="20" t="s">
        <v>245</v>
      </c>
      <c r="H304" s="173"/>
      <c r="I304" s="108"/>
      <c r="J304" s="108"/>
      <c r="K304" s="175"/>
    </row>
    <row r="305" spans="2:11" ht="15" thickBot="1" x14ac:dyDescent="0.35">
      <c r="B305" s="8"/>
      <c r="C305" s="174"/>
      <c r="D305" s="24" t="s">
        <v>676</v>
      </c>
      <c r="E305" s="25" t="s">
        <v>547</v>
      </c>
      <c r="F305" s="25" t="s">
        <v>677</v>
      </c>
      <c r="G305" s="26" t="s">
        <v>28</v>
      </c>
      <c r="H305" s="173"/>
      <c r="I305" s="108"/>
      <c r="J305" s="108"/>
      <c r="K305" s="175"/>
    </row>
    <row r="306" spans="2:11" x14ac:dyDescent="0.3">
      <c r="B306" s="8"/>
      <c r="C306" s="176"/>
      <c r="D306" s="31"/>
      <c r="H306" s="173"/>
      <c r="I306" s="108"/>
      <c r="J306" s="108"/>
      <c r="K306" s="175"/>
    </row>
    <row r="307" spans="2:11" ht="15.6" x14ac:dyDescent="0.3">
      <c r="B307" s="8" t="s">
        <v>14</v>
      </c>
      <c r="C307" s="39">
        <v>252</v>
      </c>
      <c r="D307" s="18" t="s">
        <v>678</v>
      </c>
      <c r="E307" s="19" t="s">
        <v>679</v>
      </c>
      <c r="F307" s="19" t="s">
        <v>680</v>
      </c>
      <c r="G307" s="20" t="s">
        <v>33</v>
      </c>
      <c r="H307" s="141" t="s">
        <v>681</v>
      </c>
      <c r="I307" s="142"/>
      <c r="J307" s="33"/>
      <c r="K307" s="143"/>
    </row>
    <row r="308" spans="2:11" ht="15" thickBot="1" x14ac:dyDescent="0.35">
      <c r="B308" s="8"/>
      <c r="C308" s="176"/>
      <c r="D308" s="31"/>
      <c r="H308" s="173"/>
      <c r="I308" s="108"/>
      <c r="J308" s="108"/>
      <c r="K308" s="175"/>
    </row>
    <row r="309" spans="2:11" ht="19.8" customHeight="1" thickBot="1" x14ac:dyDescent="0.35">
      <c r="B309" s="8" t="s">
        <v>10</v>
      </c>
      <c r="C309" s="177">
        <v>255</v>
      </c>
      <c r="D309" s="178" t="s">
        <v>346</v>
      </c>
      <c r="E309" s="179" t="s">
        <v>347</v>
      </c>
      <c r="F309" s="179" t="s">
        <v>348</v>
      </c>
      <c r="G309" s="180" t="s">
        <v>33</v>
      </c>
      <c r="H309" s="181" t="s">
        <v>682</v>
      </c>
      <c r="I309" s="87" t="s">
        <v>11</v>
      </c>
      <c r="J309" s="87"/>
      <c r="K309" s="175"/>
    </row>
    <row r="310" spans="2:11" ht="19.8" customHeight="1" thickBot="1" x14ac:dyDescent="0.35">
      <c r="B310" s="8"/>
      <c r="C310" s="176"/>
      <c r="H310" s="19"/>
      <c r="I310" s="87"/>
      <c r="J310" s="87"/>
      <c r="K310" s="175"/>
    </row>
    <row r="311" spans="2:11" x14ac:dyDescent="0.3">
      <c r="B311" s="8" t="s">
        <v>4</v>
      </c>
      <c r="C311" s="182">
        <v>258</v>
      </c>
      <c r="D311" s="40" t="s">
        <v>683</v>
      </c>
      <c r="E311" s="41" t="s">
        <v>684</v>
      </c>
      <c r="F311" s="41" t="s">
        <v>476</v>
      </c>
      <c r="G311" s="42" t="s">
        <v>28</v>
      </c>
      <c r="H311" s="181" t="s">
        <v>685</v>
      </c>
      <c r="I311" s="87" t="s">
        <v>686</v>
      </c>
      <c r="J311" s="87" t="s">
        <v>687</v>
      </c>
      <c r="K311" s="175"/>
    </row>
    <row r="312" spans="2:11" ht="15" thickBot="1" x14ac:dyDescent="0.35">
      <c r="B312" s="8"/>
      <c r="C312" s="98"/>
      <c r="D312" s="69" t="s">
        <v>688</v>
      </c>
      <c r="E312" s="70" t="s">
        <v>689</v>
      </c>
      <c r="F312" s="70" t="s">
        <v>690</v>
      </c>
      <c r="G312" s="71" t="s">
        <v>28</v>
      </c>
      <c r="H312" s="181"/>
      <c r="I312" s="87"/>
      <c r="J312" s="87"/>
      <c r="K312" s="175"/>
    </row>
    <row r="313" spans="2:11" x14ac:dyDescent="0.3">
      <c r="B313" s="8"/>
      <c r="C313" s="98"/>
      <c r="D313" s="131"/>
      <c r="E313" s="28"/>
      <c r="F313" s="28"/>
      <c r="G313" s="28"/>
      <c r="H313" s="181"/>
      <c r="I313" s="87"/>
      <c r="J313" s="87"/>
      <c r="K313" s="175"/>
    </row>
    <row r="314" spans="2:11" ht="15" thickBot="1" x14ac:dyDescent="0.35">
      <c r="B314" s="8"/>
      <c r="C314" s="98"/>
      <c r="D314" s="131"/>
      <c r="E314" s="28"/>
      <c r="F314" s="28"/>
      <c r="G314" s="28"/>
      <c r="H314" s="181"/>
      <c r="I314" s="87"/>
      <c r="J314" s="87"/>
      <c r="K314" s="175"/>
    </row>
    <row r="315" spans="2:11" ht="15" thickBot="1" x14ac:dyDescent="0.35">
      <c r="B315" s="8"/>
      <c r="C315" s="177">
        <v>259</v>
      </c>
      <c r="D315" s="140"/>
      <c r="E315" s="140"/>
      <c r="F315" s="140"/>
      <c r="G315" s="140"/>
      <c r="H315" s="19" t="s">
        <v>691</v>
      </c>
      <c r="I315" s="87" t="s">
        <v>686</v>
      </c>
      <c r="J315" s="87" t="s">
        <v>687</v>
      </c>
      <c r="K315" s="175"/>
    </row>
    <row r="316" spans="2:11" ht="15" thickBot="1" x14ac:dyDescent="0.35">
      <c r="B316" s="8"/>
      <c r="C316" s="183"/>
      <c r="H316" s="28"/>
      <c r="I316" s="159"/>
      <c r="J316" s="184"/>
      <c r="K316" s="175"/>
    </row>
    <row r="317" spans="2:11" ht="15" thickBot="1" x14ac:dyDescent="0.35">
      <c r="B317" s="8" t="s">
        <v>14</v>
      </c>
      <c r="C317" s="182">
        <v>261</v>
      </c>
      <c r="D317" s="11" t="s">
        <v>692</v>
      </c>
      <c r="E317" s="12" t="s">
        <v>693</v>
      </c>
      <c r="F317" s="12" t="s">
        <v>694</v>
      </c>
      <c r="G317" s="13" t="s">
        <v>33</v>
      </c>
      <c r="H317" t="s">
        <v>695</v>
      </c>
      <c r="J317" t="s">
        <v>696</v>
      </c>
      <c r="K317" s="175"/>
    </row>
    <row r="318" spans="2:11" ht="15" thickBot="1" x14ac:dyDescent="0.35">
      <c r="B318" s="8" t="s">
        <v>10</v>
      </c>
      <c r="C318" s="182">
        <v>262</v>
      </c>
      <c r="D318" s="24" t="s">
        <v>697</v>
      </c>
      <c r="E318" s="25" t="s">
        <v>698</v>
      </c>
      <c r="F318" s="25" t="s">
        <v>699</v>
      </c>
      <c r="G318" s="26" t="s">
        <v>28</v>
      </c>
      <c r="H318" t="s">
        <v>700</v>
      </c>
      <c r="I318" s="185" t="s">
        <v>701</v>
      </c>
      <c r="J318" s="186" t="s">
        <v>702</v>
      </c>
      <c r="K318" s="175"/>
    </row>
    <row r="319" spans="2:11" ht="15" thickBot="1" x14ac:dyDescent="0.35">
      <c r="B319" s="8"/>
      <c r="C319" s="183"/>
      <c r="H319" s="28"/>
      <c r="I319" s="159"/>
      <c r="J319" s="184"/>
      <c r="K319" s="175"/>
    </row>
    <row r="320" spans="2:11" ht="15" thickBot="1" x14ac:dyDescent="0.35">
      <c r="B320" s="57" t="s">
        <v>2</v>
      </c>
      <c r="C320" s="101" t="s">
        <v>703</v>
      </c>
      <c r="D320" s="11" t="s">
        <v>704</v>
      </c>
      <c r="E320" s="12" t="s">
        <v>705</v>
      </c>
      <c r="F320" s="12" t="s">
        <v>156</v>
      </c>
      <c r="G320" s="13" t="s">
        <v>28</v>
      </c>
      <c r="H320" s="187" t="s">
        <v>706</v>
      </c>
      <c r="I320" s="187" t="s">
        <v>707</v>
      </c>
      <c r="J320" s="169"/>
      <c r="K320" s="124"/>
    </row>
    <row r="321" spans="2:11" x14ac:dyDescent="0.3">
      <c r="B321" s="8"/>
      <c r="C321" s="188"/>
      <c r="D321" s="18" t="s">
        <v>708</v>
      </c>
      <c r="E321" s="19" t="s">
        <v>709</v>
      </c>
      <c r="F321" s="19" t="s">
        <v>559</v>
      </c>
      <c r="G321" s="20" t="s">
        <v>28</v>
      </c>
      <c r="K321" s="9"/>
    </row>
    <row r="322" spans="2:11" x14ac:dyDescent="0.3">
      <c r="B322" s="8"/>
      <c r="C322" s="189"/>
      <c r="D322" s="45" t="s">
        <v>710</v>
      </c>
      <c r="E322" s="46" t="s">
        <v>711</v>
      </c>
      <c r="F322" s="46" t="s">
        <v>712</v>
      </c>
      <c r="G322" s="47" t="s">
        <v>33</v>
      </c>
      <c r="K322" s="9"/>
    </row>
    <row r="323" spans="2:11" x14ac:dyDescent="0.3">
      <c r="B323" s="8"/>
      <c r="C323" s="189"/>
      <c r="D323" s="45" t="s">
        <v>713</v>
      </c>
      <c r="E323" s="46" t="s">
        <v>714</v>
      </c>
      <c r="F323" s="46" t="s">
        <v>715</v>
      </c>
      <c r="G323" s="47" t="s">
        <v>28</v>
      </c>
      <c r="K323" s="9"/>
    </row>
    <row r="324" spans="2:11" ht="15" thickBot="1" x14ac:dyDescent="0.35">
      <c r="B324" s="190"/>
      <c r="C324" s="191"/>
      <c r="D324" s="18" t="s">
        <v>716</v>
      </c>
      <c r="E324" s="19" t="s">
        <v>717</v>
      </c>
      <c r="F324" s="19" t="s">
        <v>445</v>
      </c>
      <c r="G324" s="20" t="s">
        <v>28</v>
      </c>
      <c r="H324" s="83"/>
      <c r="I324" s="83"/>
      <c r="J324" s="83"/>
      <c r="K324" s="84"/>
    </row>
    <row r="325" spans="2:11" ht="15" thickBot="1" x14ac:dyDescent="0.35">
      <c r="D325" s="24" t="s">
        <v>718</v>
      </c>
      <c r="E325" s="25" t="s">
        <v>719</v>
      </c>
      <c r="F325" s="25" t="s">
        <v>720</v>
      </c>
      <c r="G325" s="26" t="s">
        <v>33</v>
      </c>
    </row>
    <row r="327" spans="2:11" x14ac:dyDescent="0.3">
      <c r="C327" s="1"/>
    </row>
  </sheetData>
  <hyperlinks>
    <hyperlink ref="H20" r:id="rId1" xr:uid="{AF1BBFBC-3208-4CD2-A580-6C4065F543F5}"/>
    <hyperlink ref="H21" r:id="rId2" xr:uid="{00EC0EBB-CB20-4645-955E-FD8BD281DA09}"/>
    <hyperlink ref="H22" r:id="rId3" xr:uid="{ABA6C613-F0A6-49C8-81A7-FAA586DD72E3}"/>
    <hyperlink ref="H31" r:id="rId4" xr:uid="{0A2D96E8-54F7-4891-BE0C-6F1E16C9EF36}"/>
    <hyperlink ref="I277" r:id="rId5" xr:uid="{8A1C6AA6-34D7-4D80-B550-4DB9F83435C2}"/>
    <hyperlink ref="H15" r:id="rId6" xr:uid="{9A997E3D-6946-4DC9-AA26-B59228A2F4E1}"/>
    <hyperlink ref="I292" r:id="rId7" xr:uid="{D236B4C1-0BB8-4AF1-92FD-4325976815EE}"/>
    <hyperlink ref="D134" r:id="rId8" xr:uid="{67A05CC4-0B14-4F77-A9DA-F67339D81F2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Anthony Linn</dc:creator>
  <cp:lastModifiedBy>Anthony Linn</cp:lastModifiedBy>
  <dcterms:created xsi:type="dcterms:W3CDTF">2025-09-18T17:32:43Z</dcterms:created>
  <dcterms:modified xsi:type="dcterms:W3CDTF">2025-09-18T17:33:58Z</dcterms:modified>
</cp:coreProperties>
</file>